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" sheetId="2" state="visible" r:id="rId4"/>
    <sheet name="Participants" sheetId="3" state="visible" r:id="rId5"/>
    <sheet name="Swipes" sheetId="4" state="visible" r:id="rId6"/>
    <sheet name="Choices" sheetId="5" state="visible" r:id="rId7"/>
    <sheet name="TestB" sheetId="6" state="visible" r:id="rId8"/>
    <sheet name="TestC" sheetId="7" state="visible" r:id="rId9"/>
    <sheet name="Stops" sheetId="8" state="visible" r:id="rId10"/>
    <sheet name="Posts" sheetId="9" state="visible" r:id="rId11"/>
    <sheet name="TestD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<sst xmlns="http://schemas.openxmlformats.org/spreadsheetml/2006/main" count="300" uniqueCount="212">
  <si>
    <t xml:space="preserve">Phase 3 results sheet</t>
  </si>
  <si>
    <t xml:space="preserve">One row per participant, stop, post or choice. Fill in the blue cells only (from row 6). Grey columns are helpers: formulas, do not edit.</t>
  </si>
  <si>
    <t xml:space="preserve">Row 4 on each tab is an example of the format. Formulas ignore it.</t>
  </si>
  <si>
    <t xml:space="preserve">Participant IDs P01–P20 and the Test B labels are pre-filled. The Test B label says which letter the PERSONALISED plan gets for that person (balanced, fixed seed).</t>
  </si>
  <si>
    <t xml:space="preserve">Summary scores every threshold (D2, D18). Test A metrics are split by voice and text (D4). Proportions show Wilson 95% intervals.</t>
  </si>
  <si>
    <t xml:space="preserve">Tabs</t>
  </si>
  <si>
    <t xml:space="preserve">Participants: one row per person (Test A answers and survey).</t>
  </si>
  <si>
    <t xml:space="preserve">Swipes and Choices: the 16 swipe reactions and 10 A/B choices (long format, one row per answer).</t>
  </si>
  <si>
    <t xml:space="preserve">TestB: preference and fit scores. TestC: plan use, second-plan request and virality counts. Stops: one row per rated stop.</t>
  </si>
  <si>
    <t xml:space="preserve">Posts: every recruitment post with minutes spent and sign-ups (D21). TestD: visits and sign-ups by arm (D25).</t>
  </si>
  <si>
    <t xml:space="preserve">Summary: results vs thresholds. Copy it into validation/results.md at Checkpoint 3.</t>
  </si>
  <si>
    <t xml:space="preserve">Data rules: no audio, no health or allergy details, no nationality. Delete personal data by 31 March 2027 (consent form).</t>
  </si>
  <si>
    <t xml:space="preserve">Summary — Phase 3 results vs thresholds</t>
  </si>
  <si>
    <t xml:space="preserve">All formulas. "no data" until the tabs are filled. Small samples: read a pass as "consistent with", not proof.</t>
  </si>
  <si>
    <t xml:space="preserve">z for 95% intervals</t>
  </si>
  <si>
    <t xml:space="preserve">Metric</t>
  </si>
  <si>
    <t xml:space="preserve">Overall</t>
  </si>
  <si>
    <t xml:space="preserve">Voice</t>
  </si>
  <si>
    <t xml:space="preserve">Text</t>
  </si>
  <si>
    <t xml:space="preserve">Threshold</t>
  </si>
  <si>
    <t xml:space="preserve">Result</t>
  </si>
  <si>
    <t xml:space="preserve">CI low</t>
  </si>
  <si>
    <t xml:space="preserve">CI high</t>
  </si>
  <si>
    <t xml:space="preserve">Note</t>
  </si>
  <si>
    <t xml:space="preserve">Test A — onboarding</t>
  </si>
  <si>
    <t xml:space="preserve">Started (consented)</t>
  </si>
  <si>
    <t xml:space="preserve">Completed the read-back</t>
  </si>
  <si>
    <t xml:space="preserve">Completion rate</t>
  </si>
  <si>
    <t xml:space="preserve">Threshold ≥ 70% (D18)</t>
  </si>
  <si>
    <t xml:space="preserve">"I felt understood" median (1–5)</t>
  </si>
  <si>
    <t xml:space="preserve">Threshold median ≥ 4 (D18)</t>
  </si>
  <si>
    <t xml:space="preserve">"Like a person, not a form" median (1–5)</t>
  </si>
  <si>
    <t xml:space="preserve">Descriptive</t>
  </si>
  <si>
    <t xml:space="preserve">Minutes taken, median</t>
  </si>
  <si>
    <t xml:space="preserve">Photos matter, median (1–5)</t>
  </si>
  <si>
    <t xml:space="preserve">Descriptive (D16)</t>
  </si>
  <si>
    <t xml:space="preserve">Shot-card appeal, median (1–5)</t>
  </si>
  <si>
    <t xml:space="preserve">Test B — blind comparison</t>
  </si>
  <si>
    <t xml:space="preserve">Participants with a preference</t>
  </si>
  <si>
    <t xml:space="preserve">Need ≥ 10 for the 7-of-10 test</t>
  </si>
  <si>
    <t xml:space="preserve">Prefer the personalised plan</t>
  </si>
  <si>
    <t xml:space="preserve">Threshold ≥ 7 of 10</t>
  </si>
  <si>
    <t xml:space="preserve">Share preferring personalised</t>
  </si>
  <si>
    <t xml:space="preserve">"Fits me" median: personalised</t>
  </si>
  <si>
    <t xml:space="preserve">"Fits me" median: generic</t>
  </si>
  <si>
    <t xml:space="preserve">Test C — real use</t>
  </si>
  <si>
    <t xml:space="preserve">Offered a plan</t>
  </si>
  <si>
    <t xml:space="preserve">Used it on a real day (all or part)</t>
  </si>
  <si>
    <t xml:space="preserve">Threshold ≥ 40%</t>
  </si>
  <si>
    <t xml:space="preserve">Asked for a second plan within 2 weeks, unprompted</t>
  </si>
  <si>
    <t xml:space="preserve">Threshold ≥ 30%</t>
  </si>
  <si>
    <t xml:space="preserve">Would go again: yes</t>
  </si>
  <si>
    <t xml:space="preserve">Stop rating, median (1–5)</t>
  </si>
  <si>
    <t xml:space="preserve">Virality (D23)</t>
  </si>
  <si>
    <t xml:space="preserve">Invites sent per participant</t>
  </si>
  <si>
    <t xml:space="preserve">Sign-ups per invite</t>
  </si>
  <si>
    <t xml:space="preserve">Shot-card shares per participant</t>
  </si>
  <si>
    <t xml:space="preserve">K = invitee sign-ups per participant</t>
  </si>
  <si>
    <t xml:space="preserve">Compare: £50k needs K ≈ 0.98 (base) or ≈ 0.69 (upside), economics Virality tab</t>
  </si>
  <si>
    <t xml:space="preserve">Recruitment (D21)</t>
  </si>
  <si>
    <t xml:space="preserve">Sign-ups per post (Tests A–C posts)</t>
  </si>
  <si>
    <t xml:space="preserve">Workbook guess: 5</t>
  </si>
  <si>
    <t xml:space="preserve">Minutes per post (Tests A–C posts)</t>
  </si>
  <si>
    <t xml:space="preserve">Workbook guess: 30</t>
  </si>
  <si>
    <t xml:space="preserve">Test D — willingness to pay</t>
  </si>
  <si>
    <t xml:space="preserve">Visit → sign-up (excl. invitees)</t>
  </si>
  <si>
    <t xml:space="preserve">Columns: overall, arm A, arm B. Threshold ≥ 10%</t>
  </si>
  <si>
    <t xml:space="preserve">Sign-ups choosing a priced option</t>
  </si>
  <si>
    <t xml:space="preserve">Threshold ≥ 20% (D2)</t>
  </si>
  <si>
    <t xml:space="preserve">Of priced sign-ups: annual</t>
  </si>
  <si>
    <t xml:space="preserve">Participants — Test A</t>
  </si>
  <si>
    <t xml:space="preserve">One row per recruited person. Consent = Y means they started.</t>
  </si>
  <si>
    <t xml:space="preserve">Example (ignored by formulas) →</t>
  </si>
  <si>
    <t xml:space="preserve">P00</t>
  </si>
  <si>
    <t xml:space="preserve">fb-ucl-hiking</t>
  </si>
  <si>
    <t xml:space="preserve">A-03</t>
  </si>
  <si>
    <t xml:space="preserve">don't know</t>
  </si>
  <si>
    <t xml:space="preserve">2026-10-19</t>
  </si>
  <si>
    <t xml:space="preserve">Y</t>
  </si>
  <si>
    <t xml:space="preserve">N</t>
  </si>
  <si>
    <t xml:space="preserve">voice</t>
  </si>
  <si>
    <t xml:space="preserve">the swipe list was long</t>
  </si>
  <si>
    <t xml:space="preserve">coast</t>
  </si>
  <si>
    <t xml:space="preserve">switch off; food</t>
  </si>
  <si>
    <t xml:space="preserve">probed crowds twice</t>
  </si>
  <si>
    <t xml:space="preserve">ID</t>
  </si>
  <si>
    <t xml:space="preserve">Source group (post link src)</t>
  </si>
  <si>
    <t xml:space="preserve">Post ID</t>
  </si>
  <si>
    <t xml:space="preserve">How they know Abram</t>
  </si>
  <si>
    <t xml:space="preserve">Date started</t>
  </si>
  <si>
    <t xml:space="preserve">Consent (Y/N)</t>
  </si>
  <si>
    <t xml:space="preserve">Audio 30-day opt-in (Y/N)</t>
  </si>
  <si>
    <t xml:space="preserve">First mode</t>
  </si>
  <si>
    <t xml:space="preserve">Completed read-back (Y/N)</t>
  </si>
  <si>
    <t xml:space="preserve">Minutes taken</t>
  </si>
  <si>
    <t xml:space="preserve">Drop-off layer (1–8, blank if completed)</t>
  </si>
  <si>
    <t xml:space="preserve">Felt understood (1–5)</t>
  </si>
  <si>
    <t xml:space="preserve">Felt like a person (1–5)</t>
  </si>
  <si>
    <t xml:space="preserve">Intrusive or tedious (open)</t>
  </si>
  <si>
    <t xml:space="preserve">Photos matter (1–5)</t>
  </si>
  <si>
    <t xml:space="preserve">Shot-card appeal (1–5)</t>
  </si>
  <si>
    <t xml:space="preserve">Grew up (place type)</t>
  </si>
  <si>
    <t xml:space="preserve">Why they travel (up to 2)</t>
  </si>
  <si>
    <t xml:space="preserve">Host improvised? (notes)</t>
  </si>
  <si>
    <t xml:space="preserve">understood | voice</t>
  </si>
  <si>
    <t xml:space="preserve">understood | text</t>
  </si>
  <si>
    <t xml:space="preserve">person | voice</t>
  </si>
  <si>
    <t xml:space="preserve">person | text</t>
  </si>
  <si>
    <t xml:space="preserve">minutes | voice</t>
  </si>
  <si>
    <t xml:space="preserve">minutes | text</t>
  </si>
  <si>
    <t xml:space="preserve">P01</t>
  </si>
  <si>
    <t xml:space="preserve">P02</t>
  </si>
  <si>
    <t xml:space="preserve">P03</t>
  </si>
  <si>
    <t xml:space="preserve">P04</t>
  </si>
  <si>
    <t xml:space="preserve">P05</t>
  </si>
  <si>
    <t xml:space="preserve">P06</t>
  </si>
  <si>
    <t xml:space="preserve">P07</t>
  </si>
  <si>
    <t xml:space="preserve">P08</t>
  </si>
  <si>
    <t xml:space="preserve">P09</t>
  </si>
  <si>
    <t xml:space="preserve">P10</t>
  </si>
  <si>
    <t xml:space="preserve">P11</t>
  </si>
  <si>
    <t xml:space="preserve">P12</t>
  </si>
  <si>
    <t xml:space="preserve">P13</t>
  </si>
  <si>
    <t xml:space="preserve">P14</t>
  </si>
  <si>
    <t xml:space="preserve">P15</t>
  </si>
  <si>
    <t xml:space="preserve">P16</t>
  </si>
  <si>
    <t xml:space="preserve">P17</t>
  </si>
  <si>
    <t xml:space="preserve">P18</t>
  </si>
  <si>
    <t xml:space="preserve">P19</t>
  </si>
  <si>
    <t xml:space="preserve">P20</t>
  </si>
  <si>
    <t xml:space="preserve">Swipes — 16 London items</t>
  </si>
  <si>
    <t xml:space="preserve">Reaction: 1 Loved it · 2 It was fine · 3 Didn't enjoy it · 4 Haven't been.</t>
  </si>
  <si>
    <t xml:space="preserve">Uber Boat on the Thames</t>
  </si>
  <si>
    <t xml:space="preserve">the wind and the views</t>
  </si>
  <si>
    <t xml:space="preserve">Participant</t>
  </si>
  <si>
    <t xml:space="preserve">Item #</t>
  </si>
  <si>
    <t xml:space="preserve">Item</t>
  </si>
  <si>
    <t xml:space="preserve">Reaction (1–4)</t>
  </si>
  <si>
    <t xml:space="preserve">Follow-up answer</t>
  </si>
  <si>
    <t xml:space="preserve">This or that — 10 tasks</t>
  </si>
  <si>
    <t xml:space="preserve">Tasks and plans are in validation/conjoint/design.csv.</t>
  </si>
  <si>
    <t xml:space="preserve">B</t>
  </si>
  <si>
    <t xml:space="preserve">Task (1–10)</t>
  </si>
  <si>
    <t xml:space="preserve">Chose (A/B)</t>
  </si>
  <si>
    <t xml:space="preserve">Test B — blind plan comparison</t>
  </si>
  <si>
    <t xml:space="preserve">Column B is pre-randomised: the letter the PERSONALISED plan gets. Never tell the participant.</t>
  </si>
  <si>
    <t xml:space="preserve">more boat, less queueing</t>
  </si>
  <si>
    <t xml:space="preserve">Personalised plan label</t>
  </si>
  <si>
    <t xml:space="preserve">Preferred (A/B)</t>
  </si>
  <si>
    <t xml:space="preserve">"Fits me" plan A (1–5)</t>
  </si>
  <si>
    <t xml:space="preserve">"Fits me" plan B (1–5)</t>
  </si>
  <si>
    <t xml:space="preserve">Why (open)</t>
  </si>
  <si>
    <t xml:space="preserve">prefers personalised</t>
  </si>
  <si>
    <t xml:space="preserve">fit | personalised</t>
  </si>
  <si>
    <t xml:space="preserve">fit | generic</t>
  </si>
  <si>
    <t xml:space="preserve">A</t>
  </si>
  <si>
    <t xml:space="preserve">Test C — real day, second plan, virality (D23)</t>
  </si>
  <si>
    <t xml:space="preserve">One row per participant offered a plan. Counts are whole numbers (0 if none).</t>
  </si>
  <si>
    <t xml:space="preserve">personalised</t>
  </si>
  <si>
    <t xml:space="preserve">part</t>
  </si>
  <si>
    <t xml:space="preserve">2026-10-25</t>
  </si>
  <si>
    <t xml:space="preserve">yes</t>
  </si>
  <si>
    <t xml:space="preserve">calm, the boat was the best bit</t>
  </si>
  <si>
    <t xml:space="preserve">Plan offered</t>
  </si>
  <si>
    <t xml:space="preserve">Used it</t>
  </si>
  <si>
    <t xml:space="preserve">Date of the day</t>
  </si>
  <si>
    <t xml:space="preserve">Would go again</t>
  </si>
  <si>
    <t xml:space="preserve">Asked for 2nd plan within 14 days, unprompted (Y/N)</t>
  </si>
  <si>
    <t xml:space="preserve">Invites sent</t>
  </si>
  <si>
    <t xml:space="preserve">Invitee sign-ups (ref code or named)</t>
  </si>
  <si>
    <t xml:space="preserve">Shot-card shares</t>
  </si>
  <si>
    <t xml:space="preserve">Brought a friend on the day (Y/N)</t>
  </si>
  <si>
    <t xml:space="preserve">How it felt (open)</t>
  </si>
  <si>
    <t xml:space="preserve">Stops — per-stop ratings (Test C)</t>
  </si>
  <si>
    <t xml:space="preserve">One row per rated stop. Weather: look it up afterwards for the stop time.</t>
  </si>
  <si>
    <t xml:space="preserve">Uber Boat, Westminster to Greenwich</t>
  </si>
  <si>
    <t xml:space="preserve">11:40</t>
  </si>
  <si>
    <t xml:space="preserve">17°C, dry</t>
  </si>
  <si>
    <t xml:space="preserve">Date</t>
  </si>
  <si>
    <t xml:space="preserve">Stop #</t>
  </si>
  <si>
    <t xml:space="preserve">Moment / place</t>
  </si>
  <si>
    <t xml:space="preserve">Time (hh:mm)</t>
  </si>
  <si>
    <t xml:space="preserve">Rating (1–5)</t>
  </si>
  <si>
    <t xml:space="preserve">Weather</t>
  </si>
  <si>
    <t xml:space="preserve">Travel time to it (min)</t>
  </si>
  <si>
    <t xml:space="preserve">Shot-card stop (Y/N)</t>
  </si>
  <si>
    <t xml:space="preserve">Notes</t>
  </si>
  <si>
    <t xml:space="preserve">Recruitment posts (D21)</t>
  </si>
  <si>
    <t xml:space="preserve">Minutes = writing + posting + replying. Sign-ups = form rows with this post's src.</t>
  </si>
  <si>
    <t xml:space="preserve">A-C</t>
  </si>
  <si>
    <t xml:space="preserve">UCL Hiking Society</t>
  </si>
  <si>
    <t xml:space="preserve">Facebook</t>
  </si>
  <si>
    <t xml:space="preserve">2026-10-15</t>
  </si>
  <si>
    <t xml:space="preserve">For</t>
  </si>
  <si>
    <t xml:space="preserve">Group</t>
  </si>
  <si>
    <t xml:space="preserve">Channel</t>
  </si>
  <si>
    <t xml:space="preserve">Minutes spent</t>
  </si>
  <si>
    <t xml:space="preserve">Sign-ups from it</t>
  </si>
  <si>
    <t xml:space="preserve">Test D — landing page by arm (D25)</t>
  </si>
  <si>
    <t xml:space="preserve">From GoatCounter (/arm-A, /arm-B) and the Tally export. Exclude src=participant. Invitees = rows with a ref code.</t>
  </si>
  <si>
    <t xml:space="preserve">Line</t>
  </si>
  <si>
    <t xml:space="preserve">Arm A (£4.99/m)</t>
  </si>
  <si>
    <t xml:space="preserve">Arm B (£9.99/m)</t>
  </si>
  <si>
    <t xml:space="preserve">Total</t>
  </si>
  <si>
    <t xml:space="preserve">Visits</t>
  </si>
  <si>
    <t xml:space="preserve">Sign-ups: free waitlist</t>
  </si>
  <si>
    <t xml:space="preserve">Sign-ups: founding price, monthly</t>
  </si>
  <si>
    <t xml:space="preserve">Sign-ups: founding price, annual</t>
  </si>
  <si>
    <t xml:space="preserve">Of all sign-ups: invitees (had a ref code)</t>
  </si>
  <si>
    <t xml:space="preserve">Sign-ups (all)</t>
  </si>
  <si>
    <t xml:space="preserve">Sign-ups excl. invitees</t>
  </si>
  <si>
    <t xml:space="preserve">Of priced: annual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</si>
</sst>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(#,##0\);\-"/>
    <numFmt numFmtId="166" formatCode="0.0%;\(0.0%\);\-"/>
    <numFmt numFmtId="167" formatCode="0.0"/>
    <numFmt numFmtId="168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80808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EDEDED"/>
      </patternFill>
    </fill>
    <fill>
      <patternFill patternType="solid">
        <fgColor rgb="FFFFFF00"/>
        <bgColor rgb="FFFFFF00"/>
      </patternFill>
    </fill>
    <fill>
      <patternFill patternType="solid">
        <fgColor rgb="FFF7F7F7"/>
        <bgColor rgb="FFEDEDED"/>
      </patternFill>
    </fill>
    <fill>
      <patternFill patternType="solid">
        <fgColor rgb="FFEDEDED"/>
        <bgColor rgb="FFF7F7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7F7F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4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2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5" t="s">
        <v>12</v>
      </c>
    </row>
    <row r="2" customFormat="false" ht="15" hidden="false" customHeight="false" outlineLevel="0" collapsed="false">
      <c r="A2" s="6" t="s">
        <v>13</v>
      </c>
    </row>
    <row r="3" customFormat="false" ht="15" hidden="false" customHeight="false" outlineLevel="0" collapsed="false">
      <c r="A3" s="7" t="s">
        <v>14</v>
      </c>
      <c r="B3" s="8" t="n">
        <v>1.96</v>
      </c>
    </row>
    <row r="5" customFormat="false" ht="15" hidden="false" customHeight="false" outlineLevel="0" collapsed="false">
      <c r="A5" s="9" t="s">
        <v>15</v>
      </c>
      <c r="B5" s="9" t="s">
        <v>16</v>
      </c>
      <c r="C5" s="9" t="s">
        <v>17</v>
      </c>
      <c r="D5" s="9" t="s">
        <v>18</v>
      </c>
      <c r="E5" s="9" t="s">
        <v>19</v>
      </c>
      <c r="F5" s="9" t="s">
        <v>20</v>
      </c>
      <c r="G5" s="9" t="s">
        <v>21</v>
      </c>
      <c r="H5" s="9" t="s">
        <v>22</v>
      </c>
      <c r="I5" s="9" t="s">
        <v>23</v>
      </c>
    </row>
    <row r="6" customFormat="false" ht="15" hidden="false" customHeight="false" outlineLevel="0" collapsed="false">
      <c r="A6" s="10" t="s">
        <v>24</v>
      </c>
    </row>
    <row r="7" customFormat="false" ht="15" hidden="false" customHeight="false" outlineLevel="0" collapsed="false">
      <c r="A7" s="7" t="s">
        <v>25</v>
      </c>
      <c r="B7" s="11" t="n">
        <f aca="false">COUNTIFS(Participants!F6:F205,"Y")</f>
        <v>0</v>
      </c>
      <c r="C7" s="11" t="n">
        <f aca="false">COUNTIFS(Participants!F6:F205,"Y",Participants!H6:H205,"voice")</f>
        <v>0</v>
      </c>
      <c r="D7" s="11" t="n">
        <f aca="false">COUNTIFS(Participants!F6:F205,"Y",Participants!H6:H205,"text")</f>
        <v>0</v>
      </c>
      <c r="I7" s="6"/>
    </row>
    <row r="8" customFormat="false" ht="15" hidden="false" customHeight="false" outlineLevel="0" collapsed="false">
      <c r="A8" s="7" t="s">
        <v>26</v>
      </c>
      <c r="B8" s="11" t="n">
        <f aca="false">COUNTIFS(Participants!F6:F205,"Y",Participants!I6:I205,"Y")</f>
        <v>0</v>
      </c>
      <c r="C8" s="11" t="n">
        <f aca="false">COUNTIFS(Participants!F6:F205,"Y",Participants!I6:I205,"Y",Participants!H6:H205,"voice")</f>
        <v>0</v>
      </c>
      <c r="D8" s="11" t="n">
        <f aca="false">COUNTIFS(Participants!F6:F205,"Y",Participants!I6:I205,"Y",Participants!H6:H205,"text")</f>
        <v>0</v>
      </c>
      <c r="I8" s="6"/>
    </row>
    <row r="9" customFormat="false" ht="15" hidden="false" customHeight="false" outlineLevel="0" collapsed="false">
      <c r="A9" s="7" t="s">
        <v>27</v>
      </c>
      <c r="B9" s="12" t="str">
        <f aca="false">IF(COUNTIFS(Participants!F6:F205,"Y")=0,"no data",COUNTIFS(Participants!F6:F205,"Y",Participants!I6:I205,"Y")/COUNTIFS(Participants!F6:F205,"Y"))</f>
        <v>no data</v>
      </c>
      <c r="C9" s="12" t="str">
        <f aca="false">IF(COUNTIFS(Participants!F6:F205,"Y",Participants!H6:H205,"voice")=0,"no data",COUNTIFS(Participants!F6:F205,"Y",Participants!I6:I205,"Y",Participants!H6:H205,"voice")/COUNTIFS(Participants!F6:F205,"Y",Participants!H6:H205,"voice"))</f>
        <v>no data</v>
      </c>
      <c r="D9" s="12" t="str">
        <f aca="false">IF(COUNTIFS(Participants!F6:F205,"Y",Participants!H6:H205,"text")=0,"no data",COUNTIFS(Participants!F6:F205,"Y",Participants!I6:I205,"Y",Participants!H6:H205,"text")/COUNTIFS(Participants!F6:F205,"Y",Participants!H6:H205,"text"))</f>
        <v>no data</v>
      </c>
      <c r="E9" s="13" t="n">
        <v>0.7</v>
      </c>
      <c r="F9" s="14" t="str">
        <f aca="false">IF(ISNUMBER(B9),IF(B9&gt;=E9,"PASS","FAIL"),"no data")</f>
        <v>no data</v>
      </c>
      <c r="G9" s="12" t="str">
        <f aca="false">IF(ISNUMBER(B9),((B9+$B$3^2/(2*COUNTIFS(Participants!F6:F205,"Y")))-$B$3*SQRT(B9*(1-B9)/COUNTIFS(Participants!F6:F205,"Y")+$B$3^2/(4*COUNTIFS(Participants!F6:F205,"Y")^2)))/(1+$B$3^2/COUNTIFS(Participants!F6:F205,"Y")),"")</f>
        <v/>
      </c>
      <c r="H9" s="12" t="str">
        <f aca="false">IF(ISNUMBER(B9),((B9+$B$3^2/(2*COUNTIFS(Participants!F6:F205,"Y")))+$B$3*SQRT(B9*(1-B9)/COUNTIFS(Participants!F6:F205,"Y")+$B$3^2/(4*COUNTIFS(Participants!F6:F205,"Y")^2)))/(1+$B$3^2/COUNTIFS(Participants!F6:F205,"Y")),"")</f>
        <v/>
      </c>
      <c r="I9" s="6" t="s">
        <v>28</v>
      </c>
    </row>
    <row r="10" customFormat="false" ht="15" hidden="false" customHeight="false" outlineLevel="0" collapsed="false">
      <c r="A10" s="7" t="s">
        <v>29</v>
      </c>
      <c r="B10" s="15" t="str">
        <f aca="false">IF(COUNT(Participants!L6:L205)=0,"no data",MEDIAN(Participants!L6:L205))</f>
        <v>no data</v>
      </c>
      <c r="C10" s="15" t="str">
        <f aca="false">IF(COUNT(Participants!T6:T205)=0,"no data",MEDIAN(Participants!T6:T205))</f>
        <v>no data</v>
      </c>
      <c r="D10" s="15" t="str">
        <f aca="false">IF(COUNT(Participants!U6:U205)=0,"no data",MEDIAN(Participants!U6:U205))</f>
        <v>no data</v>
      </c>
      <c r="E10" s="16" t="n">
        <v>4</v>
      </c>
      <c r="F10" s="14" t="str">
        <f aca="false">IF(ISNUMBER(B10),IF(B10&gt;=E10,"PASS","FAIL"),"no data")</f>
        <v>no data</v>
      </c>
      <c r="I10" s="6" t="s">
        <v>30</v>
      </c>
    </row>
    <row r="11" customFormat="false" ht="15" hidden="false" customHeight="false" outlineLevel="0" collapsed="false">
      <c r="A11" s="7" t="s">
        <v>31</v>
      </c>
      <c r="B11" s="15" t="str">
        <f aca="false">IF(COUNT(Participants!M6:M205)=0,"no data",MEDIAN(Participants!M6:M205))</f>
        <v>no data</v>
      </c>
      <c r="C11" s="15" t="str">
        <f aca="false">IF(COUNT(Participants!V6:V205)=0,"no data",MEDIAN(Participants!V6:V205))</f>
        <v>no data</v>
      </c>
      <c r="D11" s="15" t="str">
        <f aca="false">IF(COUNT(Participants!W6:W205)=0,"no data",MEDIAN(Participants!W6:W205))</f>
        <v>no data</v>
      </c>
      <c r="I11" s="6" t="s">
        <v>32</v>
      </c>
    </row>
    <row r="12" customFormat="false" ht="15" hidden="false" customHeight="false" outlineLevel="0" collapsed="false">
      <c r="A12" s="7" t="s">
        <v>33</v>
      </c>
      <c r="B12" s="11" t="str">
        <f aca="false">IF(COUNT(Participants!J6:J205)=0,"no data",MEDIAN(Participants!J6:J205))</f>
        <v>no data</v>
      </c>
      <c r="C12" s="11" t="str">
        <f aca="false">IF(COUNT(Participants!X6:X205)=0,"no data",MEDIAN(Participants!X6:X205))</f>
        <v>no data</v>
      </c>
      <c r="D12" s="11" t="str">
        <f aca="false">IF(COUNT(Participants!Y6:Y205)=0,"no data",MEDIAN(Participants!Y6:Y205))</f>
        <v>no data</v>
      </c>
      <c r="I12" s="6" t="s">
        <v>32</v>
      </c>
    </row>
    <row r="13" customFormat="false" ht="15" hidden="false" customHeight="false" outlineLevel="0" collapsed="false">
      <c r="A13" s="7" t="s">
        <v>34</v>
      </c>
      <c r="B13" s="15" t="str">
        <f aca="false">IF(COUNT(Participants!O6:O205)=0,"no data",MEDIAN(Participants!O6:O205))</f>
        <v>no data</v>
      </c>
      <c r="I13" s="6" t="s">
        <v>35</v>
      </c>
    </row>
    <row r="14" customFormat="false" ht="15" hidden="false" customHeight="false" outlineLevel="0" collapsed="false">
      <c r="A14" s="7" t="s">
        <v>36</v>
      </c>
      <c r="B14" s="15" t="str">
        <f aca="false">IF(COUNT(Participants!P6:P205)=0,"no data",MEDIAN(Participants!P6:P205))</f>
        <v>no data</v>
      </c>
      <c r="I14" s="6" t="s">
        <v>35</v>
      </c>
    </row>
    <row r="15" customFormat="false" ht="15" hidden="false" customHeight="false" outlineLevel="0" collapsed="false">
      <c r="A15" s="10" t="s">
        <v>37</v>
      </c>
    </row>
    <row r="16" customFormat="false" ht="15" hidden="false" customHeight="false" outlineLevel="0" collapsed="false">
      <c r="A16" s="7" t="s">
        <v>38</v>
      </c>
      <c r="B16" s="11" t="n">
        <f aca="false">COUNT(TestB!G6:G205)</f>
        <v>0</v>
      </c>
      <c r="E16" s="17" t="n">
        <v>10</v>
      </c>
      <c r="F16" s="14" t="str">
        <f aca="false">IF(B16&gt;=E16,"enough","too few")</f>
        <v>too few</v>
      </c>
      <c r="I16" s="6" t="s">
        <v>39</v>
      </c>
    </row>
    <row r="17" customFormat="false" ht="15" hidden="false" customHeight="false" outlineLevel="0" collapsed="false">
      <c r="A17" s="7" t="s">
        <v>40</v>
      </c>
      <c r="B17" s="11" t="n">
        <f aca="false">SUM(TestB!G6:G205)</f>
        <v>0</v>
      </c>
      <c r="E17" s="17" t="n">
        <v>7</v>
      </c>
      <c r="F17" s="14" t="str">
        <f aca="false">IF(B16&lt;10,"too few",IF(B17&gt;=E17*B16/10,"PASS","FAIL"))</f>
        <v>too few</v>
      </c>
      <c r="I17" s="6" t="s">
        <v>41</v>
      </c>
    </row>
    <row r="18" customFormat="false" ht="15" hidden="false" customHeight="false" outlineLevel="0" collapsed="false">
      <c r="A18" s="7" t="s">
        <v>42</v>
      </c>
      <c r="B18" s="12" t="str">
        <f aca="false">IF(COUNT(TestB!G6:G205)=0,"no data",SUM(TestB!G6:G205)/COUNT(TestB!G6:G205))</f>
        <v>no data</v>
      </c>
      <c r="E18" s="13" t="n">
        <v>0.7</v>
      </c>
      <c r="F18" s="14" t="str">
        <f aca="false">IF(ISNUMBER(B18),IF(B18&gt;=E18,"PASS","FAIL"),"no data")</f>
        <v>no data</v>
      </c>
      <c r="G18" s="12" t="str">
        <f aca="false">IF(ISNUMBER(B18),((B18+$B$3^2/(2*COUNT(TestB!G6:G205)))-$B$3*SQRT(B18*(1-B18)/COUNT(TestB!G6:G205)+$B$3^2/(4*COUNT(TestB!G6:G205)^2)))/(1+$B$3^2/COUNT(TestB!G6:G205)),"")</f>
        <v/>
      </c>
      <c r="H18" s="12" t="str">
        <f aca="false">IF(ISNUMBER(B18),((B18+$B$3^2/(2*COUNT(TestB!G6:G205)))+$B$3*SQRT(B18*(1-B18)/COUNT(TestB!G6:G205)+$B$3^2/(4*COUNT(TestB!G6:G205)^2)))/(1+$B$3^2/COUNT(TestB!G6:G205)),"")</f>
        <v/>
      </c>
      <c r="I18" s="6"/>
    </row>
    <row r="19" customFormat="false" ht="15" hidden="false" customHeight="false" outlineLevel="0" collapsed="false">
      <c r="A19" s="7" t="s">
        <v>43</v>
      </c>
      <c r="B19" s="15" t="str">
        <f aca="false">IF(COUNT(TestB!H6:H205)=0,"no data",MEDIAN(TestB!H6:H205))</f>
        <v>no data</v>
      </c>
      <c r="I19" s="6"/>
    </row>
    <row r="20" customFormat="false" ht="15" hidden="false" customHeight="false" outlineLevel="0" collapsed="false">
      <c r="A20" s="7" t="s">
        <v>44</v>
      </c>
      <c r="B20" s="15" t="str">
        <f aca="false">IF(COUNT(TestB!I6:I205)=0,"no data",MEDIAN(TestB!I6:I205))</f>
        <v>no data</v>
      </c>
      <c r="I20" s="6"/>
    </row>
    <row r="21" customFormat="false" ht="15" hidden="false" customHeight="false" outlineLevel="0" collapsed="false">
      <c r="A21" s="10" t="s">
        <v>45</v>
      </c>
    </row>
    <row r="22" customFormat="false" ht="15" hidden="false" customHeight="false" outlineLevel="0" collapsed="false">
      <c r="A22" s="7" t="s">
        <v>46</v>
      </c>
      <c r="B22" s="11" t="n">
        <f aca="false">COUNTA(TestC!B6:B205)</f>
        <v>0</v>
      </c>
      <c r="I22" s="6"/>
    </row>
    <row r="23" customFormat="false" ht="15" hidden="false" customHeight="false" outlineLevel="0" collapsed="false">
      <c r="A23" s="7" t="s">
        <v>47</v>
      </c>
      <c r="B23" s="12" t="str">
        <f aca="false">IF(COUNTA(TestC!B6:B205)=0,"no data",(COUNTIF(TestC!C6:C205,"all")+COUNTIF(TestC!C6:C205,"part"))/COUNTA(TestC!B6:B205))</f>
        <v>no data</v>
      </c>
      <c r="E23" s="13" t="n">
        <v>0.4</v>
      </c>
      <c r="F23" s="14" t="str">
        <f aca="false">IF(ISNUMBER(B23),IF(B23&gt;=E23,"PASS","FAIL"),"no data")</f>
        <v>no data</v>
      </c>
      <c r="G23" s="12" t="str">
        <f aca="false">IF(ISNUMBER(B23),((B23+$B$3^2/(2*COUNTA(TestC!B6:B205)))-$B$3*SQRT(B23*(1-B23)/COUNTA(TestC!B6:B205)+$B$3^2/(4*COUNTA(TestC!B6:B205)^2)))/(1+$B$3^2/COUNTA(TestC!B6:B205)),"")</f>
        <v/>
      </c>
      <c r="H23" s="12" t="str">
        <f aca="false">IF(ISNUMBER(B23),((B23+$B$3^2/(2*COUNTA(TestC!B6:B205)))+$B$3*SQRT(B23*(1-B23)/COUNTA(TestC!B6:B205)+$B$3^2/(4*COUNTA(TestC!B6:B205)^2)))/(1+$B$3^2/COUNTA(TestC!B6:B205)),"")</f>
        <v/>
      </c>
      <c r="I23" s="6" t="s">
        <v>48</v>
      </c>
    </row>
    <row r="24" customFormat="false" ht="15" hidden="false" customHeight="false" outlineLevel="0" collapsed="false">
      <c r="A24" s="7" t="s">
        <v>49</v>
      </c>
      <c r="B24" s="12" t="str">
        <f aca="false">IF(COUNTA(TestC!B6:B205)=0,"no data",COUNTIF(TestC!F6:F205,"Y")/COUNTA(TestC!B6:B205))</f>
        <v>no data</v>
      </c>
      <c r="E24" s="13" t="n">
        <v>0.3</v>
      </c>
      <c r="F24" s="14" t="str">
        <f aca="false">IF(ISNUMBER(B24),IF(B24&gt;=E24,"PASS","FAIL"),"no data")</f>
        <v>no data</v>
      </c>
      <c r="G24" s="12" t="str">
        <f aca="false">IF(ISNUMBER(B24),((B24+$B$3^2/(2*COUNTA(TestC!B6:B205)))-$B$3*SQRT(B24*(1-B24)/COUNTA(TestC!B6:B205)+$B$3^2/(4*COUNTA(TestC!B6:B205)^2)))/(1+$B$3^2/COUNTA(TestC!B6:B205)),"")</f>
        <v/>
      </c>
      <c r="H24" s="12" t="str">
        <f aca="false">IF(ISNUMBER(B24),((B24+$B$3^2/(2*COUNTA(TestC!B6:B205)))+$B$3*SQRT(B24*(1-B24)/COUNTA(TestC!B6:B205)+$B$3^2/(4*COUNTA(TestC!B6:B205)^2)))/(1+$B$3^2/COUNTA(TestC!B6:B205)),"")</f>
        <v/>
      </c>
      <c r="I24" s="6" t="s">
        <v>50</v>
      </c>
    </row>
    <row r="25" customFormat="false" ht="15" hidden="false" customHeight="false" outlineLevel="0" collapsed="false">
      <c r="A25" s="7" t="s">
        <v>51</v>
      </c>
      <c r="B25" s="12" t="str">
        <f aca="false">IF(COUNTA(TestC!E6:E205)=0,"no data",COUNTIF(TestC!E6:E205,"yes")/COUNTA(TestC!E6:E205))</f>
        <v>no data</v>
      </c>
      <c r="I25" s="6"/>
    </row>
    <row r="26" customFormat="false" ht="15" hidden="false" customHeight="false" outlineLevel="0" collapsed="false">
      <c r="A26" s="7" t="s">
        <v>52</v>
      </c>
      <c r="B26" s="15" t="str">
        <f aca="false">IF(COUNT(Stops!F6:F205)=0,"no data",MEDIAN(Stops!F6:F205))</f>
        <v>no data</v>
      </c>
      <c r="I26" s="6"/>
    </row>
    <row r="27" customFormat="false" ht="15" hidden="false" customHeight="false" outlineLevel="0" collapsed="false">
      <c r="A27" s="10" t="s">
        <v>53</v>
      </c>
    </row>
    <row r="28" customFormat="false" ht="15" hidden="false" customHeight="false" outlineLevel="0" collapsed="false">
      <c r="A28" s="7" t="s">
        <v>54</v>
      </c>
      <c r="B28" s="18" t="str">
        <f aca="false">IF(COUNTA(TestC!B6:B205)=0,"no data",SUM(TestC!G6:G205)/COUNTA(TestC!B6:B205))</f>
        <v>no data</v>
      </c>
      <c r="I28" s="6"/>
    </row>
    <row r="29" customFormat="false" ht="15" hidden="false" customHeight="false" outlineLevel="0" collapsed="false">
      <c r="A29" s="7" t="s">
        <v>55</v>
      </c>
      <c r="B29" s="12" t="str">
        <f aca="false">IF(SUM(TestC!G6:G205)=0,"no data",SUM(TestC!H6:H205)/SUM(TestC!G6:G205))</f>
        <v>no data</v>
      </c>
      <c r="I29" s="6"/>
    </row>
    <row r="30" customFormat="false" ht="15" hidden="false" customHeight="false" outlineLevel="0" collapsed="false">
      <c r="A30" s="7" t="s">
        <v>56</v>
      </c>
      <c r="B30" s="18" t="str">
        <f aca="false">IF(COUNTA(TestC!B6:B205)=0,"no data",SUM(TestC!I6:I205)/COUNTA(TestC!B6:B205))</f>
        <v>no data</v>
      </c>
      <c r="I30" s="6"/>
    </row>
    <row r="31" customFormat="false" ht="15" hidden="false" customHeight="false" outlineLevel="0" collapsed="false">
      <c r="A31" s="7" t="s">
        <v>57</v>
      </c>
      <c r="B31" s="18" t="str">
        <f aca="false">IF(COUNTA(TestC!B6:B205)=0,"no data",SUM(TestC!H6:H205)/COUNTA(TestC!B6:B205))</f>
        <v>no data</v>
      </c>
      <c r="I31" s="6" t="s">
        <v>58</v>
      </c>
    </row>
    <row r="32" customFormat="false" ht="15" hidden="false" customHeight="false" outlineLevel="0" collapsed="false">
      <c r="A32" s="10" t="s">
        <v>59</v>
      </c>
    </row>
    <row r="33" customFormat="false" ht="15" hidden="false" customHeight="false" outlineLevel="0" collapsed="false">
      <c r="A33" s="7" t="s">
        <v>60</v>
      </c>
      <c r="B33" s="15" t="str">
        <f aca="false">IF(COUNTIF(Posts!B6:B205,"A-C")=0,"no data",SUMIF(Posts!B6:B205,"A-C",Posts!G6:G205)/COUNTIF(Posts!B6:B205,"A-C"))</f>
        <v>no data</v>
      </c>
      <c r="I33" s="6" t="s">
        <v>61</v>
      </c>
    </row>
    <row r="34" customFormat="false" ht="15" hidden="false" customHeight="false" outlineLevel="0" collapsed="false">
      <c r="A34" s="7" t="s">
        <v>62</v>
      </c>
      <c r="B34" s="11" t="str">
        <f aca="false">IF(COUNTIF(Posts!B6:B205,"A-C")=0,"no data",SUMIF(Posts!B6:B205,"A-C",Posts!F6:F205)/COUNTIF(Posts!B6:B205,"A-C"))</f>
        <v>no data</v>
      </c>
      <c r="I34" s="6" t="s">
        <v>63</v>
      </c>
    </row>
    <row r="35" customFormat="false" ht="15" hidden="false" customHeight="false" outlineLevel="0" collapsed="false">
      <c r="A35" s="10" t="s">
        <v>64</v>
      </c>
    </row>
    <row r="36" customFormat="false" ht="15" hidden="false" customHeight="false" outlineLevel="0" collapsed="false">
      <c r="A36" s="7" t="s">
        <v>65</v>
      </c>
      <c r="B36" s="19" t="str">
        <f aca="false">TestD!D12</f>
        <v>no data</v>
      </c>
      <c r="C36" s="19" t="str">
        <f aca="false">TestD!B12</f>
        <v>no data</v>
      </c>
      <c r="D36" s="19" t="str">
        <f aca="false">TestD!C12</f>
        <v>no data</v>
      </c>
      <c r="E36" s="13" t="n">
        <v>0.1</v>
      </c>
      <c r="F36" s="14" t="str">
        <f aca="false">IF(ISNUMBER(B36),IF(B36&gt;=E36,"PASS","FAIL"),"no data")</f>
        <v>no data</v>
      </c>
      <c r="G36" s="12" t="str">
        <f aca="false">IF(ISNUMBER(B36),((B36+$B$3^2/(2*TestD!D5))-$B$3*SQRT(B36*(1-B36)/TestD!D5+$B$3^2/(4*TestD!D5^2)))/(1+$B$3^2/TestD!D5),"")</f>
        <v/>
      </c>
      <c r="H36" s="12" t="str">
        <f aca="false">IF(ISNUMBER(B36),((B36+$B$3^2/(2*TestD!D5))+$B$3*SQRT(B36*(1-B36)/TestD!D5+$B$3^2/(4*TestD!D5^2)))/(1+$B$3^2/TestD!D5),"")</f>
        <v/>
      </c>
      <c r="I36" s="6" t="s">
        <v>66</v>
      </c>
    </row>
    <row r="37" customFormat="false" ht="15" hidden="false" customHeight="false" outlineLevel="0" collapsed="false">
      <c r="A37" s="7" t="s">
        <v>67</v>
      </c>
      <c r="B37" s="19" t="str">
        <f aca="false">TestD!D13</f>
        <v>no data</v>
      </c>
      <c r="C37" s="19" t="str">
        <f aca="false">TestD!B13</f>
        <v>no data</v>
      </c>
      <c r="D37" s="19" t="str">
        <f aca="false">TestD!C13</f>
        <v>no data</v>
      </c>
      <c r="E37" s="13" t="n">
        <v>0.2</v>
      </c>
      <c r="F37" s="14" t="str">
        <f aca="false">IF(ISNUMBER(B37),IF(B37&gt;=E37,"PASS","FAIL"),"no data")</f>
        <v>no data</v>
      </c>
      <c r="G37" s="12" t="str">
        <f aca="false">IF(ISNUMBER(B37),((B37+$B$3^2/(2*TestD!D10))-$B$3*SQRT(B37*(1-B37)/TestD!D10+$B$3^2/(4*TestD!D10^2)))/(1+$B$3^2/TestD!D10),"")</f>
        <v/>
      </c>
      <c r="H37" s="12" t="str">
        <f aca="false">IF(ISNUMBER(B37),((B37+$B$3^2/(2*TestD!D10))+$B$3*SQRT(B37*(1-B37)/TestD!D10+$B$3^2/(4*TestD!D10^2)))/(1+$B$3^2/TestD!D10),"")</f>
        <v/>
      </c>
      <c r="I37" s="6" t="s">
        <v>68</v>
      </c>
    </row>
    <row r="38" customFormat="false" ht="15" hidden="false" customHeight="false" outlineLevel="0" collapsed="false">
      <c r="A38" s="7" t="s">
        <v>69</v>
      </c>
      <c r="B38" s="19" t="str">
        <f aca="false">TestD!D14</f>
        <v>no data</v>
      </c>
      <c r="C38" s="19" t="str">
        <f aca="false">TestD!B14</f>
        <v>no data</v>
      </c>
      <c r="D38" s="19" t="str">
        <f aca="false">TestD!C14</f>
        <v>no data</v>
      </c>
      <c r="I38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2"/>
    <col collapsed="false" customWidth="true" hidden="false" outlineLevel="0" max="13" min="12" style="0" width="11"/>
    <col collapsed="false" customWidth="true" hidden="false" outlineLevel="0" max="14" min="14" style="0" width="30"/>
    <col collapsed="false" customWidth="true" hidden="false" outlineLevel="0" max="16" min="15" style="0" width="10"/>
    <col collapsed="false" customWidth="true" hidden="false" outlineLevel="0" max="17" min="17" style="0" width="13"/>
    <col collapsed="false" customWidth="true" hidden="false" outlineLevel="0" max="18" min="18" style="0" width="22"/>
    <col collapsed="false" customWidth="true" hidden="false" outlineLevel="0" max="19" min="19" style="0" width="24"/>
    <col collapsed="false" customWidth="true" hidden="false" outlineLevel="0" max="25" min="20" style="0" width="11"/>
  </cols>
  <sheetData>
    <row r="1" customFormat="false" ht="17.35" hidden="false" customHeight="false" outlineLevel="0" collapsed="false">
      <c r="A1" s="5" t="s">
        <v>70</v>
      </c>
    </row>
    <row r="2" customFormat="false" ht="15" hidden="false" customHeight="false" outlineLevel="0" collapsed="false">
      <c r="A2" s="6" t="s">
        <v>71</v>
      </c>
    </row>
    <row r="3" customFormat="false" ht="15" hidden="false" customHeight="false" outlineLevel="0" collapsed="false">
      <c r="A3" s="20" t="s">
        <v>72</v>
      </c>
    </row>
    <row r="4" customFormat="false" ht="15" hidden="false" customHeight="false" outlineLevel="0" collapsed="false">
      <c r="A4" s="21" t="s">
        <v>73</v>
      </c>
      <c r="B4" s="21" t="s">
        <v>74</v>
      </c>
      <c r="C4" s="21" t="s">
        <v>75</v>
      </c>
      <c r="D4" s="21" t="s">
        <v>76</v>
      </c>
      <c r="E4" s="21" t="s">
        <v>77</v>
      </c>
      <c r="F4" s="21" t="s">
        <v>78</v>
      </c>
      <c r="G4" s="21" t="s">
        <v>79</v>
      </c>
      <c r="H4" s="21" t="s">
        <v>80</v>
      </c>
      <c r="I4" s="21" t="s">
        <v>78</v>
      </c>
      <c r="J4" s="21" t="n">
        <v>26</v>
      </c>
      <c r="K4" s="21"/>
      <c r="L4" s="21" t="n">
        <v>4</v>
      </c>
      <c r="M4" s="21" t="n">
        <v>5</v>
      </c>
      <c r="N4" s="21" t="s">
        <v>81</v>
      </c>
      <c r="O4" s="21" t="n">
        <v>4</v>
      </c>
      <c r="P4" s="21" t="n">
        <v>3</v>
      </c>
      <c r="Q4" s="21" t="s">
        <v>82</v>
      </c>
      <c r="R4" s="21" t="s">
        <v>83</v>
      </c>
      <c r="S4" s="21" t="s">
        <v>84</v>
      </c>
    </row>
    <row r="5" customFormat="false" ht="42" hidden="false" customHeight="true" outlineLevel="0" collapsed="false">
      <c r="A5" s="22" t="s">
        <v>85</v>
      </c>
      <c r="B5" s="22" t="s">
        <v>86</v>
      </c>
      <c r="C5" s="22" t="s">
        <v>87</v>
      </c>
      <c r="D5" s="22" t="s">
        <v>88</v>
      </c>
      <c r="E5" s="22" t="s">
        <v>89</v>
      </c>
      <c r="F5" s="22" t="s">
        <v>90</v>
      </c>
      <c r="G5" s="22" t="s">
        <v>91</v>
      </c>
      <c r="H5" s="22" t="s">
        <v>92</v>
      </c>
      <c r="I5" s="22" t="s">
        <v>93</v>
      </c>
      <c r="J5" s="22" t="s">
        <v>94</v>
      </c>
      <c r="K5" s="22" t="s">
        <v>95</v>
      </c>
      <c r="L5" s="22" t="s">
        <v>96</v>
      </c>
      <c r="M5" s="22" t="s">
        <v>97</v>
      </c>
      <c r="N5" s="22" t="s">
        <v>98</v>
      </c>
      <c r="O5" s="22" t="s">
        <v>99</v>
      </c>
      <c r="P5" s="22" t="s">
        <v>100</v>
      </c>
      <c r="Q5" s="22" t="s">
        <v>101</v>
      </c>
      <c r="R5" s="22" t="s">
        <v>102</v>
      </c>
      <c r="S5" s="22" t="s">
        <v>103</v>
      </c>
      <c r="T5" s="23" t="s">
        <v>104</v>
      </c>
      <c r="U5" s="23" t="s">
        <v>105</v>
      </c>
      <c r="V5" s="23" t="s">
        <v>106</v>
      </c>
      <c r="W5" s="23" t="s">
        <v>107</v>
      </c>
      <c r="X5" s="23" t="s">
        <v>108</v>
      </c>
      <c r="Y5" s="23" t="s">
        <v>109</v>
      </c>
    </row>
    <row r="6" customFormat="false" ht="15" hidden="false" customHeight="false" outlineLevel="0" collapsed="false">
      <c r="A6" s="8" t="s">
        <v>110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24" t="str">
        <f aca="false">IF(AND(H6="voice",ISNUMBER(L6)),L6,"")</f>
        <v/>
      </c>
      <c r="U6" s="24" t="str">
        <f aca="false">IF(AND(H6="text",ISNUMBER(L6)),L6,"")</f>
        <v/>
      </c>
      <c r="V6" s="24" t="str">
        <f aca="false">IF(AND(H6="voice",ISNUMBER(M6)),M6,"")</f>
        <v/>
      </c>
      <c r="W6" s="24" t="str">
        <f aca="false">IF(AND(H6="text",ISNUMBER(M6)),M6,"")</f>
        <v/>
      </c>
      <c r="X6" s="24" t="str">
        <f aca="false">IF(AND(H6="voice",ISNUMBER(J6)),J6,"")</f>
        <v/>
      </c>
      <c r="Y6" s="24" t="str">
        <f aca="false">IF(AND(H6="text",ISNUMBER(J6)),J6,"")</f>
        <v/>
      </c>
    </row>
    <row r="7" customFormat="false" ht="15" hidden="false" customHeight="false" outlineLevel="0" collapsed="false">
      <c r="A7" s="8" t="s">
        <v>111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24" t="str">
        <f aca="false">IF(AND(H7="voice",ISNUMBER(L7)),L7,"")</f>
        <v/>
      </c>
      <c r="U7" s="24" t="str">
        <f aca="false">IF(AND(H7="text",ISNUMBER(L7)),L7,"")</f>
        <v/>
      </c>
      <c r="V7" s="24" t="str">
        <f aca="false">IF(AND(H7="voice",ISNUMBER(M7)),M7,"")</f>
        <v/>
      </c>
      <c r="W7" s="24" t="str">
        <f aca="false">IF(AND(H7="text",ISNUMBER(M7)),M7,"")</f>
        <v/>
      </c>
      <c r="X7" s="24" t="str">
        <f aca="false">IF(AND(H7="voice",ISNUMBER(J7)),J7,"")</f>
        <v/>
      </c>
      <c r="Y7" s="24" t="str">
        <f aca="false">IF(AND(H7="text",ISNUMBER(J7)),J7,"")</f>
        <v/>
      </c>
    </row>
    <row r="8" customFormat="false" ht="15" hidden="false" customHeight="false" outlineLevel="0" collapsed="false">
      <c r="A8" s="8" t="s">
        <v>112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24" t="str">
        <f aca="false">IF(AND(H8="voice",ISNUMBER(L8)),L8,"")</f>
        <v/>
      </c>
      <c r="U8" s="24" t="str">
        <f aca="false">IF(AND(H8="text",ISNUMBER(L8)),L8,"")</f>
        <v/>
      </c>
      <c r="V8" s="24" t="str">
        <f aca="false">IF(AND(H8="voice",ISNUMBER(M8)),M8,"")</f>
        <v/>
      </c>
      <c r="W8" s="24" t="str">
        <f aca="false">IF(AND(H8="text",ISNUMBER(M8)),M8,"")</f>
        <v/>
      </c>
      <c r="X8" s="24" t="str">
        <f aca="false">IF(AND(H8="voice",ISNUMBER(J8)),J8,"")</f>
        <v/>
      </c>
      <c r="Y8" s="24" t="str">
        <f aca="false">IF(AND(H8="text",ISNUMBER(J8)),J8,"")</f>
        <v/>
      </c>
    </row>
    <row r="9" customFormat="false" ht="15" hidden="false" customHeight="false" outlineLevel="0" collapsed="false">
      <c r="A9" s="8" t="s">
        <v>113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24" t="str">
        <f aca="false">IF(AND(H9="voice",ISNUMBER(L9)),L9,"")</f>
        <v/>
      </c>
      <c r="U9" s="24" t="str">
        <f aca="false">IF(AND(H9="text",ISNUMBER(L9)),L9,"")</f>
        <v/>
      </c>
      <c r="V9" s="24" t="str">
        <f aca="false">IF(AND(H9="voice",ISNUMBER(M9)),M9,"")</f>
        <v/>
      </c>
      <c r="W9" s="24" t="str">
        <f aca="false">IF(AND(H9="text",ISNUMBER(M9)),M9,"")</f>
        <v/>
      </c>
      <c r="X9" s="24" t="str">
        <f aca="false">IF(AND(H9="voice",ISNUMBER(J9)),J9,"")</f>
        <v/>
      </c>
      <c r="Y9" s="24" t="str">
        <f aca="false">IF(AND(H9="text",ISNUMBER(J9)),J9,"")</f>
        <v/>
      </c>
    </row>
    <row r="10" customFormat="false" ht="15" hidden="false" customHeight="false" outlineLevel="0" collapsed="false">
      <c r="A10" s="8" t="s">
        <v>114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24" t="str">
        <f aca="false">IF(AND(H10="voice",ISNUMBER(L10)),L10,"")</f>
        <v/>
      </c>
      <c r="U10" s="24" t="str">
        <f aca="false">IF(AND(H10="text",ISNUMBER(L10)),L10,"")</f>
        <v/>
      </c>
      <c r="V10" s="24" t="str">
        <f aca="false">IF(AND(H10="voice",ISNUMBER(M10)),M10,"")</f>
        <v/>
      </c>
      <c r="W10" s="24" t="str">
        <f aca="false">IF(AND(H10="text",ISNUMBER(M10)),M10,"")</f>
        <v/>
      </c>
      <c r="X10" s="24" t="str">
        <f aca="false">IF(AND(H10="voice",ISNUMBER(J10)),J10,"")</f>
        <v/>
      </c>
      <c r="Y10" s="24" t="str">
        <f aca="false">IF(AND(H10="text",ISNUMBER(J10)),J10,"")</f>
        <v/>
      </c>
    </row>
    <row r="11" customFormat="false" ht="15" hidden="false" customHeight="false" outlineLevel="0" collapsed="false">
      <c r="A11" s="8" t="s">
        <v>115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24" t="str">
        <f aca="false">IF(AND(H11="voice",ISNUMBER(L11)),L11,"")</f>
        <v/>
      </c>
      <c r="U11" s="24" t="str">
        <f aca="false">IF(AND(H11="text",ISNUMBER(L11)),L11,"")</f>
        <v/>
      </c>
      <c r="V11" s="24" t="str">
        <f aca="false">IF(AND(H11="voice",ISNUMBER(M11)),M11,"")</f>
        <v/>
      </c>
      <c r="W11" s="24" t="str">
        <f aca="false">IF(AND(H11="text",ISNUMBER(M11)),M11,"")</f>
        <v/>
      </c>
      <c r="X11" s="24" t="str">
        <f aca="false">IF(AND(H11="voice",ISNUMBER(J11)),J11,"")</f>
        <v/>
      </c>
      <c r="Y11" s="24" t="str">
        <f aca="false">IF(AND(H11="text",ISNUMBER(J11)),J11,"")</f>
        <v/>
      </c>
    </row>
    <row r="12" customFormat="false" ht="15" hidden="false" customHeight="false" outlineLevel="0" collapsed="false">
      <c r="A12" s="8" t="s">
        <v>116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24" t="str">
        <f aca="false">IF(AND(H12="voice",ISNUMBER(L12)),L12,"")</f>
        <v/>
      </c>
      <c r="U12" s="24" t="str">
        <f aca="false">IF(AND(H12="text",ISNUMBER(L12)),L12,"")</f>
        <v/>
      </c>
      <c r="V12" s="24" t="str">
        <f aca="false">IF(AND(H12="voice",ISNUMBER(M12)),M12,"")</f>
        <v/>
      </c>
      <c r="W12" s="24" t="str">
        <f aca="false">IF(AND(H12="text",ISNUMBER(M12)),M12,"")</f>
        <v/>
      </c>
      <c r="X12" s="24" t="str">
        <f aca="false">IF(AND(H12="voice",ISNUMBER(J12)),J12,"")</f>
        <v/>
      </c>
      <c r="Y12" s="24" t="str">
        <f aca="false">IF(AND(H12="text",ISNUMBER(J12)),J12,"")</f>
        <v/>
      </c>
    </row>
    <row r="13" customFormat="false" ht="15" hidden="false" customHeight="false" outlineLevel="0" collapsed="false">
      <c r="A13" s="8" t="s">
        <v>117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24" t="str">
        <f aca="false">IF(AND(H13="voice",ISNUMBER(L13)),L13,"")</f>
        <v/>
      </c>
      <c r="U13" s="24" t="str">
        <f aca="false">IF(AND(H13="text",ISNUMBER(L13)),L13,"")</f>
        <v/>
      </c>
      <c r="V13" s="24" t="str">
        <f aca="false">IF(AND(H13="voice",ISNUMBER(M13)),M13,"")</f>
        <v/>
      </c>
      <c r="W13" s="24" t="str">
        <f aca="false">IF(AND(H13="text",ISNUMBER(M13)),M13,"")</f>
        <v/>
      </c>
      <c r="X13" s="24" t="str">
        <f aca="false">IF(AND(H13="voice",ISNUMBER(J13)),J13,"")</f>
        <v/>
      </c>
      <c r="Y13" s="24" t="str">
        <f aca="false">IF(AND(H13="text",ISNUMBER(J13)),J13,"")</f>
        <v/>
      </c>
    </row>
    <row r="14" customFormat="false" ht="15" hidden="false" customHeight="false" outlineLevel="0" collapsed="false">
      <c r="A14" s="8" t="s">
        <v>118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24" t="str">
        <f aca="false">IF(AND(H14="voice",ISNUMBER(L14)),L14,"")</f>
        <v/>
      </c>
      <c r="U14" s="24" t="str">
        <f aca="false">IF(AND(H14="text",ISNUMBER(L14)),L14,"")</f>
        <v/>
      </c>
      <c r="V14" s="24" t="str">
        <f aca="false">IF(AND(H14="voice",ISNUMBER(M14)),M14,"")</f>
        <v/>
      </c>
      <c r="W14" s="24" t="str">
        <f aca="false">IF(AND(H14="text",ISNUMBER(M14)),M14,"")</f>
        <v/>
      </c>
      <c r="X14" s="24" t="str">
        <f aca="false">IF(AND(H14="voice",ISNUMBER(J14)),J14,"")</f>
        <v/>
      </c>
      <c r="Y14" s="24" t="str">
        <f aca="false">IF(AND(H14="text",ISNUMBER(J14)),J14,"")</f>
        <v/>
      </c>
    </row>
    <row r="15" customFormat="false" ht="15" hidden="false" customHeight="false" outlineLevel="0" collapsed="false">
      <c r="A15" s="8" t="s">
        <v>119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24" t="str">
        <f aca="false">IF(AND(H15="voice",ISNUMBER(L15)),L15,"")</f>
        <v/>
      </c>
      <c r="U15" s="24" t="str">
        <f aca="false">IF(AND(H15="text",ISNUMBER(L15)),L15,"")</f>
        <v/>
      </c>
      <c r="V15" s="24" t="str">
        <f aca="false">IF(AND(H15="voice",ISNUMBER(M15)),M15,"")</f>
        <v/>
      </c>
      <c r="W15" s="24" t="str">
        <f aca="false">IF(AND(H15="text",ISNUMBER(M15)),M15,"")</f>
        <v/>
      </c>
      <c r="X15" s="24" t="str">
        <f aca="false">IF(AND(H15="voice",ISNUMBER(J15)),J15,"")</f>
        <v/>
      </c>
      <c r="Y15" s="24" t="str">
        <f aca="false">IF(AND(H15="text",ISNUMBER(J15)),J15,"")</f>
        <v/>
      </c>
    </row>
    <row r="16" customFormat="false" ht="15" hidden="false" customHeight="false" outlineLevel="0" collapsed="false">
      <c r="A16" s="8" t="s">
        <v>120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24" t="str">
        <f aca="false">IF(AND(H16="voice",ISNUMBER(L16)),L16,"")</f>
        <v/>
      </c>
      <c r="U16" s="24" t="str">
        <f aca="false">IF(AND(H16="text",ISNUMBER(L16)),L16,"")</f>
        <v/>
      </c>
      <c r="V16" s="24" t="str">
        <f aca="false">IF(AND(H16="voice",ISNUMBER(M16)),M16,"")</f>
        <v/>
      </c>
      <c r="W16" s="24" t="str">
        <f aca="false">IF(AND(H16="text",ISNUMBER(M16)),M16,"")</f>
        <v/>
      </c>
      <c r="X16" s="24" t="str">
        <f aca="false">IF(AND(H16="voice",ISNUMBER(J16)),J16,"")</f>
        <v/>
      </c>
      <c r="Y16" s="24" t="str">
        <f aca="false">IF(AND(H16="text",ISNUMBER(J16)),J16,"")</f>
        <v/>
      </c>
    </row>
    <row r="17" customFormat="false" ht="15" hidden="false" customHeight="false" outlineLevel="0" collapsed="false">
      <c r="A17" s="8" t="s">
        <v>121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24" t="str">
        <f aca="false">IF(AND(H17="voice",ISNUMBER(L17)),L17,"")</f>
        <v/>
      </c>
      <c r="U17" s="24" t="str">
        <f aca="false">IF(AND(H17="text",ISNUMBER(L17)),L17,"")</f>
        <v/>
      </c>
      <c r="V17" s="24" t="str">
        <f aca="false">IF(AND(H17="voice",ISNUMBER(M17)),M17,"")</f>
        <v/>
      </c>
      <c r="W17" s="24" t="str">
        <f aca="false">IF(AND(H17="text",ISNUMBER(M17)),M17,"")</f>
        <v/>
      </c>
      <c r="X17" s="24" t="str">
        <f aca="false">IF(AND(H17="voice",ISNUMBER(J17)),J17,"")</f>
        <v/>
      </c>
      <c r="Y17" s="24" t="str">
        <f aca="false">IF(AND(H17="text",ISNUMBER(J17)),J17,"")</f>
        <v/>
      </c>
    </row>
    <row r="18" customFormat="false" ht="15" hidden="false" customHeight="false" outlineLevel="0" collapsed="false">
      <c r="A18" s="8" t="s">
        <v>122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24" t="str">
        <f aca="false">IF(AND(H18="voice",ISNUMBER(L18)),L18,"")</f>
        <v/>
      </c>
      <c r="U18" s="24" t="str">
        <f aca="false">IF(AND(H18="text",ISNUMBER(L18)),L18,"")</f>
        <v/>
      </c>
      <c r="V18" s="24" t="str">
        <f aca="false">IF(AND(H18="voice",ISNUMBER(M18)),M18,"")</f>
        <v/>
      </c>
      <c r="W18" s="24" t="str">
        <f aca="false">IF(AND(H18="text",ISNUMBER(M18)),M18,"")</f>
        <v/>
      </c>
      <c r="X18" s="24" t="str">
        <f aca="false">IF(AND(H18="voice",ISNUMBER(J18)),J18,"")</f>
        <v/>
      </c>
      <c r="Y18" s="24" t="str">
        <f aca="false">IF(AND(H18="text",ISNUMBER(J18)),J18,"")</f>
        <v/>
      </c>
    </row>
    <row r="19" customFormat="false" ht="15" hidden="false" customHeight="false" outlineLevel="0" collapsed="false">
      <c r="A19" s="8" t="s">
        <v>123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24" t="str">
        <f aca="false">IF(AND(H19="voice",ISNUMBER(L19)),L19,"")</f>
        <v/>
      </c>
      <c r="U19" s="24" t="str">
        <f aca="false">IF(AND(H19="text",ISNUMBER(L19)),L19,"")</f>
        <v/>
      </c>
      <c r="V19" s="24" t="str">
        <f aca="false">IF(AND(H19="voice",ISNUMBER(M19)),M19,"")</f>
        <v/>
      </c>
      <c r="W19" s="24" t="str">
        <f aca="false">IF(AND(H19="text",ISNUMBER(M19)),M19,"")</f>
        <v/>
      </c>
      <c r="X19" s="24" t="str">
        <f aca="false">IF(AND(H19="voice",ISNUMBER(J19)),J19,"")</f>
        <v/>
      </c>
      <c r="Y19" s="24" t="str">
        <f aca="false">IF(AND(H19="text",ISNUMBER(J19)),J19,"")</f>
        <v/>
      </c>
    </row>
    <row r="20" customFormat="false" ht="15" hidden="false" customHeight="false" outlineLevel="0" collapsed="false">
      <c r="A20" s="8" t="s">
        <v>124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24" t="str">
        <f aca="false">IF(AND(H20="voice",ISNUMBER(L20)),L20,"")</f>
        <v/>
      </c>
      <c r="U20" s="24" t="str">
        <f aca="false">IF(AND(H20="text",ISNUMBER(L20)),L20,"")</f>
        <v/>
      </c>
      <c r="V20" s="24" t="str">
        <f aca="false">IF(AND(H20="voice",ISNUMBER(M20)),M20,"")</f>
        <v/>
      </c>
      <c r="W20" s="24" t="str">
        <f aca="false">IF(AND(H20="text",ISNUMBER(M20)),M20,"")</f>
        <v/>
      </c>
      <c r="X20" s="24" t="str">
        <f aca="false">IF(AND(H20="voice",ISNUMBER(J20)),J20,"")</f>
        <v/>
      </c>
      <c r="Y20" s="24" t="str">
        <f aca="false">IF(AND(H20="text",ISNUMBER(J20)),J20,"")</f>
        <v/>
      </c>
    </row>
    <row r="21" customFormat="false" ht="15" hidden="false" customHeight="false" outlineLevel="0" collapsed="false">
      <c r="A21" s="8" t="s">
        <v>125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24" t="str">
        <f aca="false">IF(AND(H21="voice",ISNUMBER(L21)),L21,"")</f>
        <v/>
      </c>
      <c r="U21" s="24" t="str">
        <f aca="false">IF(AND(H21="text",ISNUMBER(L21)),L21,"")</f>
        <v/>
      </c>
      <c r="V21" s="24" t="str">
        <f aca="false">IF(AND(H21="voice",ISNUMBER(M21)),M21,"")</f>
        <v/>
      </c>
      <c r="W21" s="24" t="str">
        <f aca="false">IF(AND(H21="text",ISNUMBER(M21)),M21,"")</f>
        <v/>
      </c>
      <c r="X21" s="24" t="str">
        <f aca="false">IF(AND(H21="voice",ISNUMBER(J21)),J21,"")</f>
        <v/>
      </c>
      <c r="Y21" s="24" t="str">
        <f aca="false">IF(AND(H21="text",ISNUMBER(J21)),J21,"")</f>
        <v/>
      </c>
    </row>
    <row r="22" customFormat="false" ht="15" hidden="false" customHeight="false" outlineLevel="0" collapsed="false">
      <c r="A22" s="8" t="s">
        <v>126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24" t="str">
        <f aca="false">IF(AND(H22="voice",ISNUMBER(L22)),L22,"")</f>
        <v/>
      </c>
      <c r="U22" s="24" t="str">
        <f aca="false">IF(AND(H22="text",ISNUMBER(L22)),L22,"")</f>
        <v/>
      </c>
      <c r="V22" s="24" t="str">
        <f aca="false">IF(AND(H22="voice",ISNUMBER(M22)),M22,"")</f>
        <v/>
      </c>
      <c r="W22" s="24" t="str">
        <f aca="false">IF(AND(H22="text",ISNUMBER(M22)),M22,"")</f>
        <v/>
      </c>
      <c r="X22" s="24" t="str">
        <f aca="false">IF(AND(H22="voice",ISNUMBER(J22)),J22,"")</f>
        <v/>
      </c>
      <c r="Y22" s="24" t="str">
        <f aca="false">IF(AND(H22="text",ISNUMBER(J22)),J22,"")</f>
        <v/>
      </c>
    </row>
    <row r="23" customFormat="false" ht="15" hidden="false" customHeight="false" outlineLevel="0" collapsed="false">
      <c r="A23" s="8" t="s">
        <v>127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24" t="str">
        <f aca="false">IF(AND(H23="voice",ISNUMBER(L23)),L23,"")</f>
        <v/>
      </c>
      <c r="U23" s="24" t="str">
        <f aca="false">IF(AND(H23="text",ISNUMBER(L23)),L23,"")</f>
        <v/>
      </c>
      <c r="V23" s="24" t="str">
        <f aca="false">IF(AND(H23="voice",ISNUMBER(M23)),M23,"")</f>
        <v/>
      </c>
      <c r="W23" s="24" t="str">
        <f aca="false">IF(AND(H23="text",ISNUMBER(M23)),M23,"")</f>
        <v/>
      </c>
      <c r="X23" s="24" t="str">
        <f aca="false">IF(AND(H23="voice",ISNUMBER(J23)),J23,"")</f>
        <v/>
      </c>
      <c r="Y23" s="24" t="str">
        <f aca="false">IF(AND(H23="text",ISNUMBER(J23)),J23,"")</f>
        <v/>
      </c>
    </row>
    <row r="24" customFormat="false" ht="15" hidden="false" customHeight="false" outlineLevel="0" collapsed="false">
      <c r="A24" s="8" t="s">
        <v>128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24" t="str">
        <f aca="false">IF(AND(H24="voice",ISNUMBER(L24)),L24,"")</f>
        <v/>
      </c>
      <c r="U24" s="24" t="str">
        <f aca="false">IF(AND(H24="text",ISNUMBER(L24)),L24,"")</f>
        <v/>
      </c>
      <c r="V24" s="24" t="str">
        <f aca="false">IF(AND(H24="voice",ISNUMBER(M24)),M24,"")</f>
        <v/>
      </c>
      <c r="W24" s="24" t="str">
        <f aca="false">IF(AND(H24="text",ISNUMBER(M24)),M24,"")</f>
        <v/>
      </c>
      <c r="X24" s="24" t="str">
        <f aca="false">IF(AND(H24="voice",ISNUMBER(J24)),J24,"")</f>
        <v/>
      </c>
      <c r="Y24" s="24" t="str">
        <f aca="false">IF(AND(H24="text",ISNUMBER(J24)),J24,"")</f>
        <v/>
      </c>
    </row>
    <row r="25" customFormat="false" ht="15" hidden="false" customHeight="false" outlineLevel="0" collapsed="false">
      <c r="A25" s="8" t="s">
        <v>129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24" t="str">
        <f aca="false">IF(AND(H25="voice",ISNUMBER(L25)),L25,"")</f>
        <v/>
      </c>
      <c r="U25" s="24" t="str">
        <f aca="false">IF(AND(H25="text",ISNUMBER(L25)),L25,"")</f>
        <v/>
      </c>
      <c r="V25" s="24" t="str">
        <f aca="false">IF(AND(H25="voice",ISNUMBER(M25)),M25,"")</f>
        <v/>
      </c>
      <c r="W25" s="24" t="str">
        <f aca="false">IF(AND(H25="text",ISNUMBER(M25)),M25,"")</f>
        <v/>
      </c>
      <c r="X25" s="24" t="str">
        <f aca="false">IF(AND(H25="voice",ISNUMBER(J25)),J25,"")</f>
        <v/>
      </c>
      <c r="Y25" s="24" t="str">
        <f aca="false">IF(AND(H25="text",ISNUMBER(J25)),J25,"")</f>
        <v/>
      </c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24" t="str">
        <f aca="false">IF(AND(H26="voice",ISNUMBER(L26)),L26,"")</f>
        <v/>
      </c>
      <c r="U26" s="24" t="str">
        <f aca="false">IF(AND(H26="text",ISNUMBER(L26)),L26,"")</f>
        <v/>
      </c>
      <c r="V26" s="24" t="str">
        <f aca="false">IF(AND(H26="voice",ISNUMBER(M26)),M26,"")</f>
        <v/>
      </c>
      <c r="W26" s="24" t="str">
        <f aca="false">IF(AND(H26="text",ISNUMBER(M26)),M26,"")</f>
        <v/>
      </c>
      <c r="X26" s="24" t="str">
        <f aca="false">IF(AND(H26="voice",ISNUMBER(J26)),J26,"")</f>
        <v/>
      </c>
      <c r="Y26" s="24" t="str">
        <f aca="false">IF(AND(H26="text",ISNUMBER(J26)),J26,"")</f>
        <v/>
      </c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24" t="str">
        <f aca="false">IF(AND(H27="voice",ISNUMBER(L27)),L27,"")</f>
        <v/>
      </c>
      <c r="U27" s="24" t="str">
        <f aca="false">IF(AND(H27="text",ISNUMBER(L27)),L27,"")</f>
        <v/>
      </c>
      <c r="V27" s="24" t="str">
        <f aca="false">IF(AND(H27="voice",ISNUMBER(M27)),M27,"")</f>
        <v/>
      </c>
      <c r="W27" s="24" t="str">
        <f aca="false">IF(AND(H27="text",ISNUMBER(M27)),M27,"")</f>
        <v/>
      </c>
      <c r="X27" s="24" t="str">
        <f aca="false">IF(AND(H27="voice",ISNUMBER(J27)),J27,"")</f>
        <v/>
      </c>
      <c r="Y27" s="24" t="str">
        <f aca="false">IF(AND(H27="text",ISNUMBER(J27)),J27,"")</f>
        <v/>
      </c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24" t="str">
        <f aca="false">IF(AND(H28="voice",ISNUMBER(L28)),L28,"")</f>
        <v/>
      </c>
      <c r="U28" s="24" t="str">
        <f aca="false">IF(AND(H28="text",ISNUMBER(L28)),L28,"")</f>
        <v/>
      </c>
      <c r="V28" s="24" t="str">
        <f aca="false">IF(AND(H28="voice",ISNUMBER(M28)),M28,"")</f>
        <v/>
      </c>
      <c r="W28" s="24" t="str">
        <f aca="false">IF(AND(H28="text",ISNUMBER(M28)),M28,"")</f>
        <v/>
      </c>
      <c r="X28" s="24" t="str">
        <f aca="false">IF(AND(H28="voice",ISNUMBER(J28)),J28,"")</f>
        <v/>
      </c>
      <c r="Y28" s="24" t="str">
        <f aca="false">IF(AND(H28="text",ISNUMBER(J28)),J28,"")</f>
        <v/>
      </c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24" t="str">
        <f aca="false">IF(AND(H29="voice",ISNUMBER(L29)),L29,"")</f>
        <v/>
      </c>
      <c r="U29" s="24" t="str">
        <f aca="false">IF(AND(H29="text",ISNUMBER(L29)),L29,"")</f>
        <v/>
      </c>
      <c r="V29" s="24" t="str">
        <f aca="false">IF(AND(H29="voice",ISNUMBER(M29)),M29,"")</f>
        <v/>
      </c>
      <c r="W29" s="24" t="str">
        <f aca="false">IF(AND(H29="text",ISNUMBER(M29)),M29,"")</f>
        <v/>
      </c>
      <c r="X29" s="24" t="str">
        <f aca="false">IF(AND(H29="voice",ISNUMBER(J29)),J29,"")</f>
        <v/>
      </c>
      <c r="Y29" s="24" t="str">
        <f aca="false">IF(AND(H29="text",ISNUMBER(J29)),J29,"")</f>
        <v/>
      </c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24" t="str">
        <f aca="false">IF(AND(H30="voice",ISNUMBER(L30)),L30,"")</f>
        <v/>
      </c>
      <c r="U30" s="24" t="str">
        <f aca="false">IF(AND(H30="text",ISNUMBER(L30)),L30,"")</f>
        <v/>
      </c>
      <c r="V30" s="24" t="str">
        <f aca="false">IF(AND(H30="voice",ISNUMBER(M30)),M30,"")</f>
        <v/>
      </c>
      <c r="W30" s="24" t="str">
        <f aca="false">IF(AND(H30="text",ISNUMBER(M30)),M30,"")</f>
        <v/>
      </c>
      <c r="X30" s="24" t="str">
        <f aca="false">IF(AND(H30="voice",ISNUMBER(J30)),J30,"")</f>
        <v/>
      </c>
      <c r="Y30" s="24" t="str">
        <f aca="false">IF(AND(H30="text",ISNUMBER(J30)),J30,"")</f>
        <v/>
      </c>
    </row>
    <row r="31" customFormat="false" ht="15" hidden="false" customHeight="false" outlineLevel="0" collapsed="false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24" t="str">
        <f aca="false">IF(AND(H31="voice",ISNUMBER(L31)),L31,"")</f>
        <v/>
      </c>
      <c r="U31" s="24" t="str">
        <f aca="false">IF(AND(H31="text",ISNUMBER(L31)),L31,"")</f>
        <v/>
      </c>
      <c r="V31" s="24" t="str">
        <f aca="false">IF(AND(H31="voice",ISNUMBER(M31)),M31,"")</f>
        <v/>
      </c>
      <c r="W31" s="24" t="str">
        <f aca="false">IF(AND(H31="text",ISNUMBER(M31)),M31,"")</f>
        <v/>
      </c>
      <c r="X31" s="24" t="str">
        <f aca="false">IF(AND(H31="voice",ISNUMBER(J31)),J31,"")</f>
        <v/>
      </c>
      <c r="Y31" s="24" t="str">
        <f aca="false">IF(AND(H31="text",ISNUMBER(J31)),J31,"")</f>
        <v/>
      </c>
    </row>
    <row r="32" customFormat="false" ht="15" hidden="false" customHeight="false" outlineLevel="0" collapsed="false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24" t="str">
        <f aca="false">IF(AND(H32="voice",ISNUMBER(L32)),L32,"")</f>
        <v/>
      </c>
      <c r="U32" s="24" t="str">
        <f aca="false">IF(AND(H32="text",ISNUMBER(L32)),L32,"")</f>
        <v/>
      </c>
      <c r="V32" s="24" t="str">
        <f aca="false">IF(AND(H32="voice",ISNUMBER(M32)),M32,"")</f>
        <v/>
      </c>
      <c r="W32" s="24" t="str">
        <f aca="false">IF(AND(H32="text",ISNUMBER(M32)),M32,"")</f>
        <v/>
      </c>
      <c r="X32" s="24" t="str">
        <f aca="false">IF(AND(H32="voice",ISNUMBER(J32)),J32,"")</f>
        <v/>
      </c>
      <c r="Y32" s="24" t="str">
        <f aca="false">IF(AND(H32="text",ISNUMBER(J32)),J32,"")</f>
        <v/>
      </c>
    </row>
    <row r="33" customFormat="false" ht="15" hidden="false" customHeight="false" outlineLevel="0" collapsed="false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24" t="str">
        <f aca="false">IF(AND(H33="voice",ISNUMBER(L33)),L33,"")</f>
        <v/>
      </c>
      <c r="U33" s="24" t="str">
        <f aca="false">IF(AND(H33="text",ISNUMBER(L33)),L33,"")</f>
        <v/>
      </c>
      <c r="V33" s="24" t="str">
        <f aca="false">IF(AND(H33="voice",ISNUMBER(M33)),M33,"")</f>
        <v/>
      </c>
      <c r="W33" s="24" t="str">
        <f aca="false">IF(AND(H33="text",ISNUMBER(M33)),M33,"")</f>
        <v/>
      </c>
      <c r="X33" s="24" t="str">
        <f aca="false">IF(AND(H33="voice",ISNUMBER(J33)),J33,"")</f>
        <v/>
      </c>
      <c r="Y33" s="24" t="str">
        <f aca="false">IF(AND(H33="text",ISNUMBER(J33)),J33,"")</f>
        <v/>
      </c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24" t="str">
        <f aca="false">IF(AND(H34="voice",ISNUMBER(L34)),L34,"")</f>
        <v/>
      </c>
      <c r="U34" s="24" t="str">
        <f aca="false">IF(AND(H34="text",ISNUMBER(L34)),L34,"")</f>
        <v/>
      </c>
      <c r="V34" s="24" t="str">
        <f aca="false">IF(AND(H34="voice",ISNUMBER(M34)),M34,"")</f>
        <v/>
      </c>
      <c r="W34" s="24" t="str">
        <f aca="false">IF(AND(H34="text",ISNUMBER(M34)),M34,"")</f>
        <v/>
      </c>
      <c r="X34" s="24" t="str">
        <f aca="false">IF(AND(H34="voice",ISNUMBER(J34)),J34,"")</f>
        <v/>
      </c>
      <c r="Y34" s="24" t="str">
        <f aca="false">IF(AND(H34="text",ISNUMBER(J34)),J34,"")</f>
        <v/>
      </c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24" t="str">
        <f aca="false">IF(AND(H35="voice",ISNUMBER(L35)),L35,"")</f>
        <v/>
      </c>
      <c r="U35" s="24" t="str">
        <f aca="false">IF(AND(H35="text",ISNUMBER(L35)),L35,"")</f>
        <v/>
      </c>
      <c r="V35" s="24" t="str">
        <f aca="false">IF(AND(H35="voice",ISNUMBER(M35)),M35,"")</f>
        <v/>
      </c>
      <c r="W35" s="24" t="str">
        <f aca="false">IF(AND(H35="text",ISNUMBER(M35)),M35,"")</f>
        <v/>
      </c>
      <c r="X35" s="24" t="str">
        <f aca="false">IF(AND(H35="voice",ISNUMBER(J35)),J35,"")</f>
        <v/>
      </c>
      <c r="Y35" s="24" t="str">
        <f aca="false">IF(AND(H35="text",ISNUMBER(J35)),J35,"")</f>
        <v/>
      </c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24" t="str">
        <f aca="false">IF(AND(H36="voice",ISNUMBER(L36)),L36,"")</f>
        <v/>
      </c>
      <c r="U36" s="24" t="str">
        <f aca="false">IF(AND(H36="text",ISNUMBER(L36)),L36,"")</f>
        <v/>
      </c>
      <c r="V36" s="24" t="str">
        <f aca="false">IF(AND(H36="voice",ISNUMBER(M36)),M36,"")</f>
        <v/>
      </c>
      <c r="W36" s="24" t="str">
        <f aca="false">IF(AND(H36="text",ISNUMBER(M36)),M36,"")</f>
        <v/>
      </c>
      <c r="X36" s="24" t="str">
        <f aca="false">IF(AND(H36="voice",ISNUMBER(J36)),J36,"")</f>
        <v/>
      </c>
      <c r="Y36" s="24" t="str">
        <f aca="false">IF(AND(H36="text",ISNUMBER(J36)),J36,"")</f>
        <v/>
      </c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24" t="str">
        <f aca="false">IF(AND(H37="voice",ISNUMBER(L37)),L37,"")</f>
        <v/>
      </c>
      <c r="U37" s="24" t="str">
        <f aca="false">IF(AND(H37="text",ISNUMBER(L37)),L37,"")</f>
        <v/>
      </c>
      <c r="V37" s="24" t="str">
        <f aca="false">IF(AND(H37="voice",ISNUMBER(M37)),M37,"")</f>
        <v/>
      </c>
      <c r="W37" s="24" t="str">
        <f aca="false">IF(AND(H37="text",ISNUMBER(M37)),M37,"")</f>
        <v/>
      </c>
      <c r="X37" s="24" t="str">
        <f aca="false">IF(AND(H37="voice",ISNUMBER(J37)),J37,"")</f>
        <v/>
      </c>
      <c r="Y37" s="24" t="str">
        <f aca="false">IF(AND(H37="text",ISNUMBER(J37)),J37,"")</f>
        <v/>
      </c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24" t="str">
        <f aca="false">IF(AND(H38="voice",ISNUMBER(L38)),L38,"")</f>
        <v/>
      </c>
      <c r="U38" s="24" t="str">
        <f aca="false">IF(AND(H38="text",ISNUMBER(L38)),L38,"")</f>
        <v/>
      </c>
      <c r="V38" s="24" t="str">
        <f aca="false">IF(AND(H38="voice",ISNUMBER(M38)),M38,"")</f>
        <v/>
      </c>
      <c r="W38" s="24" t="str">
        <f aca="false">IF(AND(H38="text",ISNUMBER(M38)),M38,"")</f>
        <v/>
      </c>
      <c r="X38" s="24" t="str">
        <f aca="false">IF(AND(H38="voice",ISNUMBER(J38)),J38,"")</f>
        <v/>
      </c>
      <c r="Y38" s="24" t="str">
        <f aca="false">IF(AND(H38="text",ISNUMBER(J38)),J38,"")</f>
        <v/>
      </c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24" t="str">
        <f aca="false">IF(AND(H39="voice",ISNUMBER(L39)),L39,"")</f>
        <v/>
      </c>
      <c r="U39" s="24" t="str">
        <f aca="false">IF(AND(H39="text",ISNUMBER(L39)),L39,"")</f>
        <v/>
      </c>
      <c r="V39" s="24" t="str">
        <f aca="false">IF(AND(H39="voice",ISNUMBER(M39)),M39,"")</f>
        <v/>
      </c>
      <c r="W39" s="24" t="str">
        <f aca="false">IF(AND(H39="text",ISNUMBER(M39)),M39,"")</f>
        <v/>
      </c>
      <c r="X39" s="24" t="str">
        <f aca="false">IF(AND(H39="voice",ISNUMBER(J39)),J39,"")</f>
        <v/>
      </c>
      <c r="Y39" s="24" t="str">
        <f aca="false">IF(AND(H39="text",ISNUMBER(J39)),J39,"")</f>
        <v/>
      </c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24" t="str">
        <f aca="false">IF(AND(H40="voice",ISNUMBER(L40)),L40,"")</f>
        <v/>
      </c>
      <c r="U40" s="24" t="str">
        <f aca="false">IF(AND(H40="text",ISNUMBER(L40)),L40,"")</f>
        <v/>
      </c>
      <c r="V40" s="24" t="str">
        <f aca="false">IF(AND(H40="voice",ISNUMBER(M40)),M40,"")</f>
        <v/>
      </c>
      <c r="W40" s="24" t="str">
        <f aca="false">IF(AND(H40="text",ISNUMBER(M40)),M40,"")</f>
        <v/>
      </c>
      <c r="X40" s="24" t="str">
        <f aca="false">IF(AND(H40="voice",ISNUMBER(J40)),J40,"")</f>
        <v/>
      </c>
      <c r="Y40" s="24" t="str">
        <f aca="false">IF(AND(H40="text",ISNUMBER(J40)),J40,"")</f>
        <v/>
      </c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24" t="str">
        <f aca="false">IF(AND(H41="voice",ISNUMBER(L41)),L41,"")</f>
        <v/>
      </c>
      <c r="U41" s="24" t="str">
        <f aca="false">IF(AND(H41="text",ISNUMBER(L41)),L41,"")</f>
        <v/>
      </c>
      <c r="V41" s="24" t="str">
        <f aca="false">IF(AND(H41="voice",ISNUMBER(M41)),M41,"")</f>
        <v/>
      </c>
      <c r="W41" s="24" t="str">
        <f aca="false">IF(AND(H41="text",ISNUMBER(M41)),M41,"")</f>
        <v/>
      </c>
      <c r="X41" s="24" t="str">
        <f aca="false">IF(AND(H41="voice",ISNUMBER(J41)),J41,"")</f>
        <v/>
      </c>
      <c r="Y41" s="24" t="str">
        <f aca="false">IF(AND(H41="text",ISNUMBER(J41)),J41,"")</f>
        <v/>
      </c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24" t="str">
        <f aca="false">IF(AND(H42="voice",ISNUMBER(L42)),L42,"")</f>
        <v/>
      </c>
      <c r="U42" s="24" t="str">
        <f aca="false">IF(AND(H42="text",ISNUMBER(L42)),L42,"")</f>
        <v/>
      </c>
      <c r="V42" s="24" t="str">
        <f aca="false">IF(AND(H42="voice",ISNUMBER(M42)),M42,"")</f>
        <v/>
      </c>
      <c r="W42" s="24" t="str">
        <f aca="false">IF(AND(H42="text",ISNUMBER(M42)),M42,"")</f>
        <v/>
      </c>
      <c r="X42" s="24" t="str">
        <f aca="false">IF(AND(H42="voice",ISNUMBER(J42)),J42,"")</f>
        <v/>
      </c>
      <c r="Y42" s="24" t="str">
        <f aca="false">IF(AND(H42="text",ISNUMBER(J42)),J42,"")</f>
        <v/>
      </c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24" t="str">
        <f aca="false">IF(AND(H43="voice",ISNUMBER(L43)),L43,"")</f>
        <v/>
      </c>
      <c r="U43" s="24" t="str">
        <f aca="false">IF(AND(H43="text",ISNUMBER(L43)),L43,"")</f>
        <v/>
      </c>
      <c r="V43" s="24" t="str">
        <f aca="false">IF(AND(H43="voice",ISNUMBER(M43)),M43,"")</f>
        <v/>
      </c>
      <c r="W43" s="24" t="str">
        <f aca="false">IF(AND(H43="text",ISNUMBER(M43)),M43,"")</f>
        <v/>
      </c>
      <c r="X43" s="24" t="str">
        <f aca="false">IF(AND(H43="voice",ISNUMBER(J43)),J43,"")</f>
        <v/>
      </c>
      <c r="Y43" s="24" t="str">
        <f aca="false">IF(AND(H43="text",ISNUMBER(J43)),J43,"")</f>
        <v/>
      </c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24" t="str">
        <f aca="false">IF(AND(H44="voice",ISNUMBER(L44)),L44,"")</f>
        <v/>
      </c>
      <c r="U44" s="24" t="str">
        <f aca="false">IF(AND(H44="text",ISNUMBER(L44)),L44,"")</f>
        <v/>
      </c>
      <c r="V44" s="24" t="str">
        <f aca="false">IF(AND(H44="voice",ISNUMBER(M44)),M44,"")</f>
        <v/>
      </c>
      <c r="W44" s="24" t="str">
        <f aca="false">IF(AND(H44="text",ISNUMBER(M44)),M44,"")</f>
        <v/>
      </c>
      <c r="X44" s="24" t="str">
        <f aca="false">IF(AND(H44="voice",ISNUMBER(J44)),J44,"")</f>
        <v/>
      </c>
      <c r="Y44" s="24" t="str">
        <f aca="false">IF(AND(H44="text",ISNUMBER(J44)),J44,"")</f>
        <v/>
      </c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24" t="str">
        <f aca="false">IF(AND(H45="voice",ISNUMBER(L45)),L45,"")</f>
        <v/>
      </c>
      <c r="U45" s="24" t="str">
        <f aca="false">IF(AND(H45="text",ISNUMBER(L45)),L45,"")</f>
        <v/>
      </c>
      <c r="V45" s="24" t="str">
        <f aca="false">IF(AND(H45="voice",ISNUMBER(M45)),M45,"")</f>
        <v/>
      </c>
      <c r="W45" s="24" t="str">
        <f aca="false">IF(AND(H45="text",ISNUMBER(M45)),M45,"")</f>
        <v/>
      </c>
      <c r="X45" s="24" t="str">
        <f aca="false">IF(AND(H45="voice",ISNUMBER(J45)),J45,"")</f>
        <v/>
      </c>
      <c r="Y45" s="24" t="str">
        <f aca="false">IF(AND(H45="text",ISNUMBER(J45)),J45,"")</f>
        <v/>
      </c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24" t="str">
        <f aca="false">IF(AND(H46="voice",ISNUMBER(L46)),L46,"")</f>
        <v/>
      </c>
      <c r="U46" s="24" t="str">
        <f aca="false">IF(AND(H46="text",ISNUMBER(L46)),L46,"")</f>
        <v/>
      </c>
      <c r="V46" s="24" t="str">
        <f aca="false">IF(AND(H46="voice",ISNUMBER(M46)),M46,"")</f>
        <v/>
      </c>
      <c r="W46" s="24" t="str">
        <f aca="false">IF(AND(H46="text",ISNUMBER(M46)),M46,"")</f>
        <v/>
      </c>
      <c r="X46" s="24" t="str">
        <f aca="false">IF(AND(H46="voice",ISNUMBER(J46)),J46,"")</f>
        <v/>
      </c>
      <c r="Y46" s="24" t="str">
        <f aca="false">IF(AND(H46="text",ISNUMBER(J46)),J46,"")</f>
        <v/>
      </c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24" t="str">
        <f aca="false">IF(AND(H47="voice",ISNUMBER(L47)),L47,"")</f>
        <v/>
      </c>
      <c r="U47" s="24" t="str">
        <f aca="false">IF(AND(H47="text",ISNUMBER(L47)),L47,"")</f>
        <v/>
      </c>
      <c r="V47" s="24" t="str">
        <f aca="false">IF(AND(H47="voice",ISNUMBER(M47)),M47,"")</f>
        <v/>
      </c>
      <c r="W47" s="24" t="str">
        <f aca="false">IF(AND(H47="text",ISNUMBER(M47)),M47,"")</f>
        <v/>
      </c>
      <c r="X47" s="24" t="str">
        <f aca="false">IF(AND(H47="voice",ISNUMBER(J47)),J47,"")</f>
        <v/>
      </c>
      <c r="Y47" s="24" t="str">
        <f aca="false">IF(AND(H47="text",ISNUMBER(J47)),J47,"")</f>
        <v/>
      </c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24" t="str">
        <f aca="false">IF(AND(H48="voice",ISNUMBER(L48)),L48,"")</f>
        <v/>
      </c>
      <c r="U48" s="24" t="str">
        <f aca="false">IF(AND(H48="text",ISNUMBER(L48)),L48,"")</f>
        <v/>
      </c>
      <c r="V48" s="24" t="str">
        <f aca="false">IF(AND(H48="voice",ISNUMBER(M48)),M48,"")</f>
        <v/>
      </c>
      <c r="W48" s="24" t="str">
        <f aca="false">IF(AND(H48="text",ISNUMBER(M48)),M48,"")</f>
        <v/>
      </c>
      <c r="X48" s="24" t="str">
        <f aca="false">IF(AND(H48="voice",ISNUMBER(J48)),J48,"")</f>
        <v/>
      </c>
      <c r="Y48" s="24" t="str">
        <f aca="false">IF(AND(H48="text",ISNUMBER(J48)),J48,"")</f>
        <v/>
      </c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24" t="str">
        <f aca="false">IF(AND(H49="voice",ISNUMBER(L49)),L49,"")</f>
        <v/>
      </c>
      <c r="U49" s="24" t="str">
        <f aca="false">IF(AND(H49="text",ISNUMBER(L49)),L49,"")</f>
        <v/>
      </c>
      <c r="V49" s="24" t="str">
        <f aca="false">IF(AND(H49="voice",ISNUMBER(M49)),M49,"")</f>
        <v/>
      </c>
      <c r="W49" s="24" t="str">
        <f aca="false">IF(AND(H49="text",ISNUMBER(M49)),M49,"")</f>
        <v/>
      </c>
      <c r="X49" s="24" t="str">
        <f aca="false">IF(AND(H49="voice",ISNUMBER(J49)),J49,"")</f>
        <v/>
      </c>
      <c r="Y49" s="24" t="str">
        <f aca="false">IF(AND(H49="text",ISNUMBER(J49)),J49,"")</f>
        <v/>
      </c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24" t="str">
        <f aca="false">IF(AND(H50="voice",ISNUMBER(L50)),L50,"")</f>
        <v/>
      </c>
      <c r="U50" s="24" t="str">
        <f aca="false">IF(AND(H50="text",ISNUMBER(L50)),L50,"")</f>
        <v/>
      </c>
      <c r="V50" s="24" t="str">
        <f aca="false">IF(AND(H50="voice",ISNUMBER(M50)),M50,"")</f>
        <v/>
      </c>
      <c r="W50" s="24" t="str">
        <f aca="false">IF(AND(H50="text",ISNUMBER(M50)),M50,"")</f>
        <v/>
      </c>
      <c r="X50" s="24" t="str">
        <f aca="false">IF(AND(H50="voice",ISNUMBER(J50)),J50,"")</f>
        <v/>
      </c>
      <c r="Y50" s="24" t="str">
        <f aca="false">IF(AND(H50="text",ISNUMBER(J50)),J50,"")</f>
        <v/>
      </c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24" t="str">
        <f aca="false">IF(AND(H51="voice",ISNUMBER(L51)),L51,"")</f>
        <v/>
      </c>
      <c r="U51" s="24" t="str">
        <f aca="false">IF(AND(H51="text",ISNUMBER(L51)),L51,"")</f>
        <v/>
      </c>
      <c r="V51" s="24" t="str">
        <f aca="false">IF(AND(H51="voice",ISNUMBER(M51)),M51,"")</f>
        <v/>
      </c>
      <c r="W51" s="24" t="str">
        <f aca="false">IF(AND(H51="text",ISNUMBER(M51)),M51,"")</f>
        <v/>
      </c>
      <c r="X51" s="24" t="str">
        <f aca="false">IF(AND(H51="voice",ISNUMBER(J51)),J51,"")</f>
        <v/>
      </c>
      <c r="Y51" s="24" t="str">
        <f aca="false">IF(AND(H51="text",ISNUMBER(J51)),J51,"")</f>
        <v/>
      </c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24" t="str">
        <f aca="false">IF(AND(H52="voice",ISNUMBER(L52)),L52,"")</f>
        <v/>
      </c>
      <c r="U52" s="24" t="str">
        <f aca="false">IF(AND(H52="text",ISNUMBER(L52)),L52,"")</f>
        <v/>
      </c>
      <c r="V52" s="24" t="str">
        <f aca="false">IF(AND(H52="voice",ISNUMBER(M52)),M52,"")</f>
        <v/>
      </c>
      <c r="W52" s="24" t="str">
        <f aca="false">IF(AND(H52="text",ISNUMBER(M52)),M52,"")</f>
        <v/>
      </c>
      <c r="X52" s="24" t="str">
        <f aca="false">IF(AND(H52="voice",ISNUMBER(J52)),J52,"")</f>
        <v/>
      </c>
      <c r="Y52" s="24" t="str">
        <f aca="false">IF(AND(H52="text",ISNUMBER(J52)),J52,"")</f>
        <v/>
      </c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24" t="str">
        <f aca="false">IF(AND(H53="voice",ISNUMBER(L53)),L53,"")</f>
        <v/>
      </c>
      <c r="U53" s="24" t="str">
        <f aca="false">IF(AND(H53="text",ISNUMBER(L53)),L53,"")</f>
        <v/>
      </c>
      <c r="V53" s="24" t="str">
        <f aca="false">IF(AND(H53="voice",ISNUMBER(M53)),M53,"")</f>
        <v/>
      </c>
      <c r="W53" s="24" t="str">
        <f aca="false">IF(AND(H53="text",ISNUMBER(M53)),M53,"")</f>
        <v/>
      </c>
      <c r="X53" s="24" t="str">
        <f aca="false">IF(AND(H53="voice",ISNUMBER(J53)),J53,"")</f>
        <v/>
      </c>
      <c r="Y53" s="24" t="str">
        <f aca="false">IF(AND(H53="text",ISNUMBER(J53)),J53,"")</f>
        <v/>
      </c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24" t="str">
        <f aca="false">IF(AND(H54="voice",ISNUMBER(L54)),L54,"")</f>
        <v/>
      </c>
      <c r="U54" s="24" t="str">
        <f aca="false">IF(AND(H54="text",ISNUMBER(L54)),L54,"")</f>
        <v/>
      </c>
      <c r="V54" s="24" t="str">
        <f aca="false">IF(AND(H54="voice",ISNUMBER(M54)),M54,"")</f>
        <v/>
      </c>
      <c r="W54" s="24" t="str">
        <f aca="false">IF(AND(H54="text",ISNUMBER(M54)),M54,"")</f>
        <v/>
      </c>
      <c r="X54" s="24" t="str">
        <f aca="false">IF(AND(H54="voice",ISNUMBER(J54)),J54,"")</f>
        <v/>
      </c>
      <c r="Y54" s="24" t="str">
        <f aca="false">IF(AND(H54="text",ISNUMBER(J54)),J54,"")</f>
        <v/>
      </c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24" t="str">
        <f aca="false">IF(AND(H55="voice",ISNUMBER(L55)),L55,"")</f>
        <v/>
      </c>
      <c r="U55" s="24" t="str">
        <f aca="false">IF(AND(H55="text",ISNUMBER(L55)),L55,"")</f>
        <v/>
      </c>
      <c r="V55" s="24" t="str">
        <f aca="false">IF(AND(H55="voice",ISNUMBER(M55)),M55,"")</f>
        <v/>
      </c>
      <c r="W55" s="24" t="str">
        <f aca="false">IF(AND(H55="text",ISNUMBER(M55)),M55,"")</f>
        <v/>
      </c>
      <c r="X55" s="24" t="str">
        <f aca="false">IF(AND(H55="voice",ISNUMBER(J55)),J55,"")</f>
        <v/>
      </c>
      <c r="Y55" s="24" t="str">
        <f aca="false">IF(AND(H55="text",ISNUMBER(J55)),J55,"")</f>
        <v/>
      </c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24" t="str">
        <f aca="false">IF(AND(H56="voice",ISNUMBER(L56)),L56,"")</f>
        <v/>
      </c>
      <c r="U56" s="24" t="str">
        <f aca="false">IF(AND(H56="text",ISNUMBER(L56)),L56,"")</f>
        <v/>
      </c>
      <c r="V56" s="24" t="str">
        <f aca="false">IF(AND(H56="voice",ISNUMBER(M56)),M56,"")</f>
        <v/>
      </c>
      <c r="W56" s="24" t="str">
        <f aca="false">IF(AND(H56="text",ISNUMBER(M56)),M56,"")</f>
        <v/>
      </c>
      <c r="X56" s="24" t="str">
        <f aca="false">IF(AND(H56="voice",ISNUMBER(J56)),J56,"")</f>
        <v/>
      </c>
      <c r="Y56" s="24" t="str">
        <f aca="false">IF(AND(H56="text",ISNUMBER(J56)),J56,"")</f>
        <v/>
      </c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24" t="str">
        <f aca="false">IF(AND(H57="voice",ISNUMBER(L57)),L57,"")</f>
        <v/>
      </c>
      <c r="U57" s="24" t="str">
        <f aca="false">IF(AND(H57="text",ISNUMBER(L57)),L57,"")</f>
        <v/>
      </c>
      <c r="V57" s="24" t="str">
        <f aca="false">IF(AND(H57="voice",ISNUMBER(M57)),M57,"")</f>
        <v/>
      </c>
      <c r="W57" s="24" t="str">
        <f aca="false">IF(AND(H57="text",ISNUMBER(M57)),M57,"")</f>
        <v/>
      </c>
      <c r="X57" s="24" t="str">
        <f aca="false">IF(AND(H57="voice",ISNUMBER(J57)),J57,"")</f>
        <v/>
      </c>
      <c r="Y57" s="24" t="str">
        <f aca="false">IF(AND(H57="text",ISNUMBER(J57)),J57,"")</f>
        <v/>
      </c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24" t="str">
        <f aca="false">IF(AND(H58="voice",ISNUMBER(L58)),L58,"")</f>
        <v/>
      </c>
      <c r="U58" s="24" t="str">
        <f aca="false">IF(AND(H58="text",ISNUMBER(L58)),L58,"")</f>
        <v/>
      </c>
      <c r="V58" s="24" t="str">
        <f aca="false">IF(AND(H58="voice",ISNUMBER(M58)),M58,"")</f>
        <v/>
      </c>
      <c r="W58" s="24" t="str">
        <f aca="false">IF(AND(H58="text",ISNUMBER(M58)),M58,"")</f>
        <v/>
      </c>
      <c r="X58" s="24" t="str">
        <f aca="false">IF(AND(H58="voice",ISNUMBER(J58)),J58,"")</f>
        <v/>
      </c>
      <c r="Y58" s="24" t="str">
        <f aca="false">IF(AND(H58="text",ISNUMBER(J58)),J58,"")</f>
        <v/>
      </c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24" t="str">
        <f aca="false">IF(AND(H59="voice",ISNUMBER(L59)),L59,"")</f>
        <v/>
      </c>
      <c r="U59" s="24" t="str">
        <f aca="false">IF(AND(H59="text",ISNUMBER(L59)),L59,"")</f>
        <v/>
      </c>
      <c r="V59" s="24" t="str">
        <f aca="false">IF(AND(H59="voice",ISNUMBER(M59)),M59,"")</f>
        <v/>
      </c>
      <c r="W59" s="24" t="str">
        <f aca="false">IF(AND(H59="text",ISNUMBER(M59)),M59,"")</f>
        <v/>
      </c>
      <c r="X59" s="24" t="str">
        <f aca="false">IF(AND(H59="voice",ISNUMBER(J59)),J59,"")</f>
        <v/>
      </c>
      <c r="Y59" s="24" t="str">
        <f aca="false">IF(AND(H59="text",ISNUMBER(J59)),J59,"")</f>
        <v/>
      </c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24" t="str">
        <f aca="false">IF(AND(H60="voice",ISNUMBER(L60)),L60,"")</f>
        <v/>
      </c>
      <c r="U60" s="24" t="str">
        <f aca="false">IF(AND(H60="text",ISNUMBER(L60)),L60,"")</f>
        <v/>
      </c>
      <c r="V60" s="24" t="str">
        <f aca="false">IF(AND(H60="voice",ISNUMBER(M60)),M60,"")</f>
        <v/>
      </c>
      <c r="W60" s="24" t="str">
        <f aca="false">IF(AND(H60="text",ISNUMBER(M60)),M60,"")</f>
        <v/>
      </c>
      <c r="X60" s="24" t="str">
        <f aca="false">IF(AND(H60="voice",ISNUMBER(J60)),J60,"")</f>
        <v/>
      </c>
      <c r="Y60" s="24" t="str">
        <f aca="false">IF(AND(H60="text",ISNUMBER(J60)),J60,"")</f>
        <v/>
      </c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24" t="str">
        <f aca="false">IF(AND(H61="voice",ISNUMBER(L61)),L61,"")</f>
        <v/>
      </c>
      <c r="U61" s="24" t="str">
        <f aca="false">IF(AND(H61="text",ISNUMBER(L61)),L61,"")</f>
        <v/>
      </c>
      <c r="V61" s="24" t="str">
        <f aca="false">IF(AND(H61="voice",ISNUMBER(M61)),M61,"")</f>
        <v/>
      </c>
      <c r="W61" s="24" t="str">
        <f aca="false">IF(AND(H61="text",ISNUMBER(M61)),M61,"")</f>
        <v/>
      </c>
      <c r="X61" s="24" t="str">
        <f aca="false">IF(AND(H61="voice",ISNUMBER(J61)),J61,"")</f>
        <v/>
      </c>
      <c r="Y61" s="24" t="str">
        <f aca="false">IF(AND(H61="text",ISNUMBER(J61)),J61,"")</f>
        <v/>
      </c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24" t="str">
        <f aca="false">IF(AND(H62="voice",ISNUMBER(L62)),L62,"")</f>
        <v/>
      </c>
      <c r="U62" s="24" t="str">
        <f aca="false">IF(AND(H62="text",ISNUMBER(L62)),L62,"")</f>
        <v/>
      </c>
      <c r="V62" s="24" t="str">
        <f aca="false">IF(AND(H62="voice",ISNUMBER(M62)),M62,"")</f>
        <v/>
      </c>
      <c r="W62" s="24" t="str">
        <f aca="false">IF(AND(H62="text",ISNUMBER(M62)),M62,"")</f>
        <v/>
      </c>
      <c r="X62" s="24" t="str">
        <f aca="false">IF(AND(H62="voice",ISNUMBER(J62)),J62,"")</f>
        <v/>
      </c>
      <c r="Y62" s="24" t="str">
        <f aca="false">IF(AND(H62="text",ISNUMBER(J62)),J62,"")</f>
        <v/>
      </c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24" t="str">
        <f aca="false">IF(AND(H63="voice",ISNUMBER(L63)),L63,"")</f>
        <v/>
      </c>
      <c r="U63" s="24" t="str">
        <f aca="false">IF(AND(H63="text",ISNUMBER(L63)),L63,"")</f>
        <v/>
      </c>
      <c r="V63" s="24" t="str">
        <f aca="false">IF(AND(H63="voice",ISNUMBER(M63)),M63,"")</f>
        <v/>
      </c>
      <c r="W63" s="24" t="str">
        <f aca="false">IF(AND(H63="text",ISNUMBER(M63)),M63,"")</f>
        <v/>
      </c>
      <c r="X63" s="24" t="str">
        <f aca="false">IF(AND(H63="voice",ISNUMBER(J63)),J63,"")</f>
        <v/>
      </c>
      <c r="Y63" s="24" t="str">
        <f aca="false">IF(AND(H63="text",ISNUMBER(J63)),J63,"")</f>
        <v/>
      </c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24" t="str">
        <f aca="false">IF(AND(H64="voice",ISNUMBER(L64)),L64,"")</f>
        <v/>
      </c>
      <c r="U64" s="24" t="str">
        <f aca="false">IF(AND(H64="text",ISNUMBER(L64)),L64,"")</f>
        <v/>
      </c>
      <c r="V64" s="24" t="str">
        <f aca="false">IF(AND(H64="voice",ISNUMBER(M64)),M64,"")</f>
        <v/>
      </c>
      <c r="W64" s="24" t="str">
        <f aca="false">IF(AND(H64="text",ISNUMBER(M64)),M64,"")</f>
        <v/>
      </c>
      <c r="X64" s="24" t="str">
        <f aca="false">IF(AND(H64="voice",ISNUMBER(J64)),J64,"")</f>
        <v/>
      </c>
      <c r="Y64" s="24" t="str">
        <f aca="false">IF(AND(H64="text",ISNUMBER(J64)),J64,"")</f>
        <v/>
      </c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24" t="str">
        <f aca="false">IF(AND(H65="voice",ISNUMBER(L65)),L65,"")</f>
        <v/>
      </c>
      <c r="U65" s="24" t="str">
        <f aca="false">IF(AND(H65="text",ISNUMBER(L65)),L65,"")</f>
        <v/>
      </c>
      <c r="V65" s="24" t="str">
        <f aca="false">IF(AND(H65="voice",ISNUMBER(M65)),M65,"")</f>
        <v/>
      </c>
      <c r="W65" s="24" t="str">
        <f aca="false">IF(AND(H65="text",ISNUMBER(M65)),M65,"")</f>
        <v/>
      </c>
      <c r="X65" s="24" t="str">
        <f aca="false">IF(AND(H65="voice",ISNUMBER(J65)),J65,"")</f>
        <v/>
      </c>
      <c r="Y65" s="24" t="str">
        <f aca="false">IF(AND(H65="text",ISNUMBER(J65)),J65,"")</f>
        <v/>
      </c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24" t="str">
        <f aca="false">IF(AND(H66="voice",ISNUMBER(L66)),L66,"")</f>
        <v/>
      </c>
      <c r="U66" s="24" t="str">
        <f aca="false">IF(AND(H66="text",ISNUMBER(L66)),L66,"")</f>
        <v/>
      </c>
      <c r="V66" s="24" t="str">
        <f aca="false">IF(AND(H66="voice",ISNUMBER(M66)),M66,"")</f>
        <v/>
      </c>
      <c r="W66" s="24" t="str">
        <f aca="false">IF(AND(H66="text",ISNUMBER(M66)),M66,"")</f>
        <v/>
      </c>
      <c r="X66" s="24" t="str">
        <f aca="false">IF(AND(H66="voice",ISNUMBER(J66)),J66,"")</f>
        <v/>
      </c>
      <c r="Y66" s="24" t="str">
        <f aca="false">IF(AND(H66="text",ISNUMBER(J66)),J66,"")</f>
        <v/>
      </c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24" t="str">
        <f aca="false">IF(AND(H67="voice",ISNUMBER(L67)),L67,"")</f>
        <v/>
      </c>
      <c r="U67" s="24" t="str">
        <f aca="false">IF(AND(H67="text",ISNUMBER(L67)),L67,"")</f>
        <v/>
      </c>
      <c r="V67" s="24" t="str">
        <f aca="false">IF(AND(H67="voice",ISNUMBER(M67)),M67,"")</f>
        <v/>
      </c>
      <c r="W67" s="24" t="str">
        <f aca="false">IF(AND(H67="text",ISNUMBER(M67)),M67,"")</f>
        <v/>
      </c>
      <c r="X67" s="24" t="str">
        <f aca="false">IF(AND(H67="voice",ISNUMBER(J67)),J67,"")</f>
        <v/>
      </c>
      <c r="Y67" s="24" t="str">
        <f aca="false">IF(AND(H67="text",ISNUMBER(J67)),J67,"")</f>
        <v/>
      </c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24" t="str">
        <f aca="false">IF(AND(H68="voice",ISNUMBER(L68)),L68,"")</f>
        <v/>
      </c>
      <c r="U68" s="24" t="str">
        <f aca="false">IF(AND(H68="text",ISNUMBER(L68)),L68,"")</f>
        <v/>
      </c>
      <c r="V68" s="24" t="str">
        <f aca="false">IF(AND(H68="voice",ISNUMBER(M68)),M68,"")</f>
        <v/>
      </c>
      <c r="W68" s="24" t="str">
        <f aca="false">IF(AND(H68="text",ISNUMBER(M68)),M68,"")</f>
        <v/>
      </c>
      <c r="X68" s="24" t="str">
        <f aca="false">IF(AND(H68="voice",ISNUMBER(J68)),J68,"")</f>
        <v/>
      </c>
      <c r="Y68" s="24" t="str">
        <f aca="false">IF(AND(H68="text",ISNUMBER(J68)),J68,"")</f>
        <v/>
      </c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24" t="str">
        <f aca="false">IF(AND(H69="voice",ISNUMBER(L69)),L69,"")</f>
        <v/>
      </c>
      <c r="U69" s="24" t="str">
        <f aca="false">IF(AND(H69="text",ISNUMBER(L69)),L69,"")</f>
        <v/>
      </c>
      <c r="V69" s="24" t="str">
        <f aca="false">IF(AND(H69="voice",ISNUMBER(M69)),M69,"")</f>
        <v/>
      </c>
      <c r="W69" s="24" t="str">
        <f aca="false">IF(AND(H69="text",ISNUMBER(M69)),M69,"")</f>
        <v/>
      </c>
      <c r="X69" s="24" t="str">
        <f aca="false">IF(AND(H69="voice",ISNUMBER(J69)),J69,"")</f>
        <v/>
      </c>
      <c r="Y69" s="24" t="str">
        <f aca="false">IF(AND(H69="text",ISNUMBER(J69)),J69,"")</f>
        <v/>
      </c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24" t="str">
        <f aca="false">IF(AND(H70="voice",ISNUMBER(L70)),L70,"")</f>
        <v/>
      </c>
      <c r="U70" s="24" t="str">
        <f aca="false">IF(AND(H70="text",ISNUMBER(L70)),L70,"")</f>
        <v/>
      </c>
      <c r="V70" s="24" t="str">
        <f aca="false">IF(AND(H70="voice",ISNUMBER(M70)),M70,"")</f>
        <v/>
      </c>
      <c r="W70" s="24" t="str">
        <f aca="false">IF(AND(H70="text",ISNUMBER(M70)),M70,"")</f>
        <v/>
      </c>
      <c r="X70" s="24" t="str">
        <f aca="false">IF(AND(H70="voice",ISNUMBER(J70)),J70,"")</f>
        <v/>
      </c>
      <c r="Y70" s="24" t="str">
        <f aca="false">IF(AND(H70="text",ISNUMBER(J70)),J70,"")</f>
        <v/>
      </c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24" t="str">
        <f aca="false">IF(AND(H71="voice",ISNUMBER(L71)),L71,"")</f>
        <v/>
      </c>
      <c r="U71" s="24" t="str">
        <f aca="false">IF(AND(H71="text",ISNUMBER(L71)),L71,"")</f>
        <v/>
      </c>
      <c r="V71" s="24" t="str">
        <f aca="false">IF(AND(H71="voice",ISNUMBER(M71)),M71,"")</f>
        <v/>
      </c>
      <c r="W71" s="24" t="str">
        <f aca="false">IF(AND(H71="text",ISNUMBER(M71)),M71,"")</f>
        <v/>
      </c>
      <c r="X71" s="24" t="str">
        <f aca="false">IF(AND(H71="voice",ISNUMBER(J71)),J71,"")</f>
        <v/>
      </c>
      <c r="Y71" s="24" t="str">
        <f aca="false">IF(AND(H71="text",ISNUMBER(J71)),J71,"")</f>
        <v/>
      </c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24" t="str">
        <f aca="false">IF(AND(H72="voice",ISNUMBER(L72)),L72,"")</f>
        <v/>
      </c>
      <c r="U72" s="24" t="str">
        <f aca="false">IF(AND(H72="text",ISNUMBER(L72)),L72,"")</f>
        <v/>
      </c>
      <c r="V72" s="24" t="str">
        <f aca="false">IF(AND(H72="voice",ISNUMBER(M72)),M72,"")</f>
        <v/>
      </c>
      <c r="W72" s="24" t="str">
        <f aca="false">IF(AND(H72="text",ISNUMBER(M72)),M72,"")</f>
        <v/>
      </c>
      <c r="X72" s="24" t="str">
        <f aca="false">IF(AND(H72="voice",ISNUMBER(J72)),J72,"")</f>
        <v/>
      </c>
      <c r="Y72" s="24" t="str">
        <f aca="false">IF(AND(H72="text",ISNUMBER(J72)),J72,"")</f>
        <v/>
      </c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24" t="str">
        <f aca="false">IF(AND(H73="voice",ISNUMBER(L73)),L73,"")</f>
        <v/>
      </c>
      <c r="U73" s="24" t="str">
        <f aca="false">IF(AND(H73="text",ISNUMBER(L73)),L73,"")</f>
        <v/>
      </c>
      <c r="V73" s="24" t="str">
        <f aca="false">IF(AND(H73="voice",ISNUMBER(M73)),M73,"")</f>
        <v/>
      </c>
      <c r="W73" s="24" t="str">
        <f aca="false">IF(AND(H73="text",ISNUMBER(M73)),M73,"")</f>
        <v/>
      </c>
      <c r="X73" s="24" t="str">
        <f aca="false">IF(AND(H73="voice",ISNUMBER(J73)),J73,"")</f>
        <v/>
      </c>
      <c r="Y73" s="24" t="str">
        <f aca="false">IF(AND(H73="text",ISNUMBER(J73)),J73,"")</f>
        <v/>
      </c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24" t="str">
        <f aca="false">IF(AND(H74="voice",ISNUMBER(L74)),L74,"")</f>
        <v/>
      </c>
      <c r="U74" s="24" t="str">
        <f aca="false">IF(AND(H74="text",ISNUMBER(L74)),L74,"")</f>
        <v/>
      </c>
      <c r="V74" s="24" t="str">
        <f aca="false">IF(AND(H74="voice",ISNUMBER(M74)),M74,"")</f>
        <v/>
      </c>
      <c r="W74" s="24" t="str">
        <f aca="false">IF(AND(H74="text",ISNUMBER(M74)),M74,"")</f>
        <v/>
      </c>
      <c r="X74" s="24" t="str">
        <f aca="false">IF(AND(H74="voice",ISNUMBER(J74)),J74,"")</f>
        <v/>
      </c>
      <c r="Y74" s="24" t="str">
        <f aca="false">IF(AND(H74="text",ISNUMBER(J74)),J74,"")</f>
        <v/>
      </c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24" t="str">
        <f aca="false">IF(AND(H75="voice",ISNUMBER(L75)),L75,"")</f>
        <v/>
      </c>
      <c r="U75" s="24" t="str">
        <f aca="false">IF(AND(H75="text",ISNUMBER(L75)),L75,"")</f>
        <v/>
      </c>
      <c r="V75" s="24" t="str">
        <f aca="false">IF(AND(H75="voice",ISNUMBER(M75)),M75,"")</f>
        <v/>
      </c>
      <c r="W75" s="24" t="str">
        <f aca="false">IF(AND(H75="text",ISNUMBER(M75)),M75,"")</f>
        <v/>
      </c>
      <c r="X75" s="24" t="str">
        <f aca="false">IF(AND(H75="voice",ISNUMBER(J75)),J75,"")</f>
        <v/>
      </c>
      <c r="Y75" s="24" t="str">
        <f aca="false">IF(AND(H75="text",ISNUMBER(J75)),J75,"")</f>
        <v/>
      </c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24" t="str">
        <f aca="false">IF(AND(H76="voice",ISNUMBER(L76)),L76,"")</f>
        <v/>
      </c>
      <c r="U76" s="24" t="str">
        <f aca="false">IF(AND(H76="text",ISNUMBER(L76)),L76,"")</f>
        <v/>
      </c>
      <c r="V76" s="24" t="str">
        <f aca="false">IF(AND(H76="voice",ISNUMBER(M76)),M76,"")</f>
        <v/>
      </c>
      <c r="W76" s="24" t="str">
        <f aca="false">IF(AND(H76="text",ISNUMBER(M76)),M76,"")</f>
        <v/>
      </c>
      <c r="X76" s="24" t="str">
        <f aca="false">IF(AND(H76="voice",ISNUMBER(J76)),J76,"")</f>
        <v/>
      </c>
      <c r="Y76" s="24" t="str">
        <f aca="false">IF(AND(H76="text",ISNUMBER(J76)),J76,"")</f>
        <v/>
      </c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24" t="str">
        <f aca="false">IF(AND(H77="voice",ISNUMBER(L77)),L77,"")</f>
        <v/>
      </c>
      <c r="U77" s="24" t="str">
        <f aca="false">IF(AND(H77="text",ISNUMBER(L77)),L77,"")</f>
        <v/>
      </c>
      <c r="V77" s="24" t="str">
        <f aca="false">IF(AND(H77="voice",ISNUMBER(M77)),M77,"")</f>
        <v/>
      </c>
      <c r="W77" s="24" t="str">
        <f aca="false">IF(AND(H77="text",ISNUMBER(M77)),M77,"")</f>
        <v/>
      </c>
      <c r="X77" s="24" t="str">
        <f aca="false">IF(AND(H77="voice",ISNUMBER(J77)),J77,"")</f>
        <v/>
      </c>
      <c r="Y77" s="24" t="str">
        <f aca="false">IF(AND(H77="text",ISNUMBER(J77)),J77,"")</f>
        <v/>
      </c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24" t="str">
        <f aca="false">IF(AND(H78="voice",ISNUMBER(L78)),L78,"")</f>
        <v/>
      </c>
      <c r="U78" s="24" t="str">
        <f aca="false">IF(AND(H78="text",ISNUMBER(L78)),L78,"")</f>
        <v/>
      </c>
      <c r="V78" s="24" t="str">
        <f aca="false">IF(AND(H78="voice",ISNUMBER(M78)),M78,"")</f>
        <v/>
      </c>
      <c r="W78" s="24" t="str">
        <f aca="false">IF(AND(H78="text",ISNUMBER(M78)),M78,"")</f>
        <v/>
      </c>
      <c r="X78" s="24" t="str">
        <f aca="false">IF(AND(H78="voice",ISNUMBER(J78)),J78,"")</f>
        <v/>
      </c>
      <c r="Y78" s="24" t="str">
        <f aca="false">IF(AND(H78="text",ISNUMBER(J78)),J78,"")</f>
        <v/>
      </c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24" t="str">
        <f aca="false">IF(AND(H79="voice",ISNUMBER(L79)),L79,"")</f>
        <v/>
      </c>
      <c r="U79" s="24" t="str">
        <f aca="false">IF(AND(H79="text",ISNUMBER(L79)),L79,"")</f>
        <v/>
      </c>
      <c r="V79" s="24" t="str">
        <f aca="false">IF(AND(H79="voice",ISNUMBER(M79)),M79,"")</f>
        <v/>
      </c>
      <c r="W79" s="24" t="str">
        <f aca="false">IF(AND(H79="text",ISNUMBER(M79)),M79,"")</f>
        <v/>
      </c>
      <c r="X79" s="24" t="str">
        <f aca="false">IF(AND(H79="voice",ISNUMBER(J79)),J79,"")</f>
        <v/>
      </c>
      <c r="Y79" s="24" t="str">
        <f aca="false">IF(AND(H79="text",ISNUMBER(J79)),J79,"")</f>
        <v/>
      </c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24" t="str">
        <f aca="false">IF(AND(H80="voice",ISNUMBER(L80)),L80,"")</f>
        <v/>
      </c>
      <c r="U80" s="24" t="str">
        <f aca="false">IF(AND(H80="text",ISNUMBER(L80)),L80,"")</f>
        <v/>
      </c>
      <c r="V80" s="24" t="str">
        <f aca="false">IF(AND(H80="voice",ISNUMBER(M80)),M80,"")</f>
        <v/>
      </c>
      <c r="W80" s="24" t="str">
        <f aca="false">IF(AND(H80="text",ISNUMBER(M80)),M80,"")</f>
        <v/>
      </c>
      <c r="X80" s="24" t="str">
        <f aca="false">IF(AND(H80="voice",ISNUMBER(J80)),J80,"")</f>
        <v/>
      </c>
      <c r="Y80" s="24" t="str">
        <f aca="false">IF(AND(H80="text",ISNUMBER(J80)),J80,"")</f>
        <v/>
      </c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24" t="str">
        <f aca="false">IF(AND(H81="voice",ISNUMBER(L81)),L81,"")</f>
        <v/>
      </c>
      <c r="U81" s="24" t="str">
        <f aca="false">IF(AND(H81="text",ISNUMBER(L81)),L81,"")</f>
        <v/>
      </c>
      <c r="V81" s="24" t="str">
        <f aca="false">IF(AND(H81="voice",ISNUMBER(M81)),M81,"")</f>
        <v/>
      </c>
      <c r="W81" s="24" t="str">
        <f aca="false">IF(AND(H81="text",ISNUMBER(M81)),M81,"")</f>
        <v/>
      </c>
      <c r="X81" s="24" t="str">
        <f aca="false">IF(AND(H81="voice",ISNUMBER(J81)),J81,"")</f>
        <v/>
      </c>
      <c r="Y81" s="24" t="str">
        <f aca="false">IF(AND(H81="text",ISNUMBER(J81)),J81,"")</f>
        <v/>
      </c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24" t="str">
        <f aca="false">IF(AND(H82="voice",ISNUMBER(L82)),L82,"")</f>
        <v/>
      </c>
      <c r="U82" s="24" t="str">
        <f aca="false">IF(AND(H82="text",ISNUMBER(L82)),L82,"")</f>
        <v/>
      </c>
      <c r="V82" s="24" t="str">
        <f aca="false">IF(AND(H82="voice",ISNUMBER(M82)),M82,"")</f>
        <v/>
      </c>
      <c r="W82" s="24" t="str">
        <f aca="false">IF(AND(H82="text",ISNUMBER(M82)),M82,"")</f>
        <v/>
      </c>
      <c r="X82" s="24" t="str">
        <f aca="false">IF(AND(H82="voice",ISNUMBER(J82)),J82,"")</f>
        <v/>
      </c>
      <c r="Y82" s="24" t="str">
        <f aca="false">IF(AND(H82="text",ISNUMBER(J82)),J82,"")</f>
        <v/>
      </c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24" t="str">
        <f aca="false">IF(AND(H83="voice",ISNUMBER(L83)),L83,"")</f>
        <v/>
      </c>
      <c r="U83" s="24" t="str">
        <f aca="false">IF(AND(H83="text",ISNUMBER(L83)),L83,"")</f>
        <v/>
      </c>
      <c r="V83" s="24" t="str">
        <f aca="false">IF(AND(H83="voice",ISNUMBER(M83)),M83,"")</f>
        <v/>
      </c>
      <c r="W83" s="24" t="str">
        <f aca="false">IF(AND(H83="text",ISNUMBER(M83)),M83,"")</f>
        <v/>
      </c>
      <c r="X83" s="24" t="str">
        <f aca="false">IF(AND(H83="voice",ISNUMBER(J83)),J83,"")</f>
        <v/>
      </c>
      <c r="Y83" s="24" t="str">
        <f aca="false">IF(AND(H83="text",ISNUMBER(J83)),J83,"")</f>
        <v/>
      </c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24" t="str">
        <f aca="false">IF(AND(H84="voice",ISNUMBER(L84)),L84,"")</f>
        <v/>
      </c>
      <c r="U84" s="24" t="str">
        <f aca="false">IF(AND(H84="text",ISNUMBER(L84)),L84,"")</f>
        <v/>
      </c>
      <c r="V84" s="24" t="str">
        <f aca="false">IF(AND(H84="voice",ISNUMBER(M84)),M84,"")</f>
        <v/>
      </c>
      <c r="W84" s="24" t="str">
        <f aca="false">IF(AND(H84="text",ISNUMBER(M84)),M84,"")</f>
        <v/>
      </c>
      <c r="X84" s="24" t="str">
        <f aca="false">IF(AND(H84="voice",ISNUMBER(J84)),J84,"")</f>
        <v/>
      </c>
      <c r="Y84" s="24" t="str">
        <f aca="false">IF(AND(H84="text",ISNUMBER(J84)),J84,"")</f>
        <v/>
      </c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24" t="str">
        <f aca="false">IF(AND(H85="voice",ISNUMBER(L85)),L85,"")</f>
        <v/>
      </c>
      <c r="U85" s="24" t="str">
        <f aca="false">IF(AND(H85="text",ISNUMBER(L85)),L85,"")</f>
        <v/>
      </c>
      <c r="V85" s="24" t="str">
        <f aca="false">IF(AND(H85="voice",ISNUMBER(M85)),M85,"")</f>
        <v/>
      </c>
      <c r="W85" s="24" t="str">
        <f aca="false">IF(AND(H85="text",ISNUMBER(M85)),M85,"")</f>
        <v/>
      </c>
      <c r="X85" s="24" t="str">
        <f aca="false">IF(AND(H85="voice",ISNUMBER(J85)),J85,"")</f>
        <v/>
      </c>
      <c r="Y85" s="24" t="str">
        <f aca="false">IF(AND(H85="text",ISNUMBER(J85)),J85,"")</f>
        <v/>
      </c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24" t="str">
        <f aca="false">IF(AND(H86="voice",ISNUMBER(L86)),L86,"")</f>
        <v/>
      </c>
      <c r="U86" s="24" t="str">
        <f aca="false">IF(AND(H86="text",ISNUMBER(L86)),L86,"")</f>
        <v/>
      </c>
      <c r="V86" s="24" t="str">
        <f aca="false">IF(AND(H86="voice",ISNUMBER(M86)),M86,"")</f>
        <v/>
      </c>
      <c r="W86" s="24" t="str">
        <f aca="false">IF(AND(H86="text",ISNUMBER(M86)),M86,"")</f>
        <v/>
      </c>
      <c r="X86" s="24" t="str">
        <f aca="false">IF(AND(H86="voice",ISNUMBER(J86)),J86,"")</f>
        <v/>
      </c>
      <c r="Y86" s="24" t="str">
        <f aca="false">IF(AND(H86="text",ISNUMBER(J86)),J86,"")</f>
        <v/>
      </c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24" t="str">
        <f aca="false">IF(AND(H87="voice",ISNUMBER(L87)),L87,"")</f>
        <v/>
      </c>
      <c r="U87" s="24" t="str">
        <f aca="false">IF(AND(H87="text",ISNUMBER(L87)),L87,"")</f>
        <v/>
      </c>
      <c r="V87" s="24" t="str">
        <f aca="false">IF(AND(H87="voice",ISNUMBER(M87)),M87,"")</f>
        <v/>
      </c>
      <c r="W87" s="24" t="str">
        <f aca="false">IF(AND(H87="text",ISNUMBER(M87)),M87,"")</f>
        <v/>
      </c>
      <c r="X87" s="24" t="str">
        <f aca="false">IF(AND(H87="voice",ISNUMBER(J87)),J87,"")</f>
        <v/>
      </c>
      <c r="Y87" s="24" t="str">
        <f aca="false">IF(AND(H87="text",ISNUMBER(J87)),J87,"")</f>
        <v/>
      </c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24" t="str">
        <f aca="false">IF(AND(H88="voice",ISNUMBER(L88)),L88,"")</f>
        <v/>
      </c>
      <c r="U88" s="24" t="str">
        <f aca="false">IF(AND(H88="text",ISNUMBER(L88)),L88,"")</f>
        <v/>
      </c>
      <c r="V88" s="24" t="str">
        <f aca="false">IF(AND(H88="voice",ISNUMBER(M88)),M88,"")</f>
        <v/>
      </c>
      <c r="W88" s="24" t="str">
        <f aca="false">IF(AND(H88="text",ISNUMBER(M88)),M88,"")</f>
        <v/>
      </c>
      <c r="X88" s="24" t="str">
        <f aca="false">IF(AND(H88="voice",ISNUMBER(J88)),J88,"")</f>
        <v/>
      </c>
      <c r="Y88" s="24" t="str">
        <f aca="false">IF(AND(H88="text",ISNUMBER(J88)),J88,"")</f>
        <v/>
      </c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24" t="str">
        <f aca="false">IF(AND(H89="voice",ISNUMBER(L89)),L89,"")</f>
        <v/>
      </c>
      <c r="U89" s="24" t="str">
        <f aca="false">IF(AND(H89="text",ISNUMBER(L89)),L89,"")</f>
        <v/>
      </c>
      <c r="V89" s="24" t="str">
        <f aca="false">IF(AND(H89="voice",ISNUMBER(M89)),M89,"")</f>
        <v/>
      </c>
      <c r="W89" s="24" t="str">
        <f aca="false">IF(AND(H89="text",ISNUMBER(M89)),M89,"")</f>
        <v/>
      </c>
      <c r="X89" s="24" t="str">
        <f aca="false">IF(AND(H89="voice",ISNUMBER(J89)),J89,"")</f>
        <v/>
      </c>
      <c r="Y89" s="24" t="str">
        <f aca="false">IF(AND(H89="text",ISNUMBER(J89)),J89,"")</f>
        <v/>
      </c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24" t="str">
        <f aca="false">IF(AND(H90="voice",ISNUMBER(L90)),L90,"")</f>
        <v/>
      </c>
      <c r="U90" s="24" t="str">
        <f aca="false">IF(AND(H90="text",ISNUMBER(L90)),L90,"")</f>
        <v/>
      </c>
      <c r="V90" s="24" t="str">
        <f aca="false">IF(AND(H90="voice",ISNUMBER(M90)),M90,"")</f>
        <v/>
      </c>
      <c r="W90" s="24" t="str">
        <f aca="false">IF(AND(H90="text",ISNUMBER(M90)),M90,"")</f>
        <v/>
      </c>
      <c r="X90" s="24" t="str">
        <f aca="false">IF(AND(H90="voice",ISNUMBER(J90)),J90,"")</f>
        <v/>
      </c>
      <c r="Y90" s="24" t="str">
        <f aca="false">IF(AND(H90="text",ISNUMBER(J90)),J90,"")</f>
        <v/>
      </c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24" t="str">
        <f aca="false">IF(AND(H91="voice",ISNUMBER(L91)),L91,"")</f>
        <v/>
      </c>
      <c r="U91" s="24" t="str">
        <f aca="false">IF(AND(H91="text",ISNUMBER(L91)),L91,"")</f>
        <v/>
      </c>
      <c r="V91" s="24" t="str">
        <f aca="false">IF(AND(H91="voice",ISNUMBER(M91)),M91,"")</f>
        <v/>
      </c>
      <c r="W91" s="24" t="str">
        <f aca="false">IF(AND(H91="text",ISNUMBER(M91)),M91,"")</f>
        <v/>
      </c>
      <c r="X91" s="24" t="str">
        <f aca="false">IF(AND(H91="voice",ISNUMBER(J91)),J91,"")</f>
        <v/>
      </c>
      <c r="Y91" s="24" t="str">
        <f aca="false">IF(AND(H91="text",ISNUMBER(J91)),J91,"")</f>
        <v/>
      </c>
    </row>
    <row r="92" customFormat="false" ht="15" hidden="false" customHeight="false" outlineLevel="0" collapsed="false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24" t="str">
        <f aca="false">IF(AND(H92="voice",ISNUMBER(L92)),L92,"")</f>
        <v/>
      </c>
      <c r="U92" s="24" t="str">
        <f aca="false">IF(AND(H92="text",ISNUMBER(L92)),L92,"")</f>
        <v/>
      </c>
      <c r="V92" s="24" t="str">
        <f aca="false">IF(AND(H92="voice",ISNUMBER(M92)),M92,"")</f>
        <v/>
      </c>
      <c r="W92" s="24" t="str">
        <f aca="false">IF(AND(H92="text",ISNUMBER(M92)),M92,"")</f>
        <v/>
      </c>
      <c r="X92" s="24" t="str">
        <f aca="false">IF(AND(H92="voice",ISNUMBER(J92)),J92,"")</f>
        <v/>
      </c>
      <c r="Y92" s="24" t="str">
        <f aca="false">IF(AND(H92="text",ISNUMBER(J92)),J92,"")</f>
        <v/>
      </c>
    </row>
    <row r="93" customFormat="false" ht="15" hidden="false" customHeight="false" outlineLevel="0" collapsed="false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24" t="str">
        <f aca="false">IF(AND(H93="voice",ISNUMBER(L93)),L93,"")</f>
        <v/>
      </c>
      <c r="U93" s="24" t="str">
        <f aca="false">IF(AND(H93="text",ISNUMBER(L93)),L93,"")</f>
        <v/>
      </c>
      <c r="V93" s="24" t="str">
        <f aca="false">IF(AND(H93="voice",ISNUMBER(M93)),M93,"")</f>
        <v/>
      </c>
      <c r="W93" s="24" t="str">
        <f aca="false">IF(AND(H93="text",ISNUMBER(M93)),M93,"")</f>
        <v/>
      </c>
      <c r="X93" s="24" t="str">
        <f aca="false">IF(AND(H93="voice",ISNUMBER(J93)),J93,"")</f>
        <v/>
      </c>
      <c r="Y93" s="24" t="str">
        <f aca="false">IF(AND(H93="text",ISNUMBER(J93)),J93,"")</f>
        <v/>
      </c>
    </row>
    <row r="94" customFormat="false" ht="15" hidden="false" customHeight="false" outlineLevel="0" collapsed="false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24" t="str">
        <f aca="false">IF(AND(H94="voice",ISNUMBER(L94)),L94,"")</f>
        <v/>
      </c>
      <c r="U94" s="24" t="str">
        <f aca="false">IF(AND(H94="text",ISNUMBER(L94)),L94,"")</f>
        <v/>
      </c>
      <c r="V94" s="24" t="str">
        <f aca="false">IF(AND(H94="voice",ISNUMBER(M94)),M94,"")</f>
        <v/>
      </c>
      <c r="W94" s="24" t="str">
        <f aca="false">IF(AND(H94="text",ISNUMBER(M94)),M94,"")</f>
        <v/>
      </c>
      <c r="X94" s="24" t="str">
        <f aca="false">IF(AND(H94="voice",ISNUMBER(J94)),J94,"")</f>
        <v/>
      </c>
      <c r="Y94" s="24" t="str">
        <f aca="false">IF(AND(H94="text",ISNUMBER(J94)),J94,"")</f>
        <v/>
      </c>
    </row>
    <row r="95" customFormat="false" ht="15" hidden="false" customHeight="false" outlineLevel="0" collapsed="false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24" t="str">
        <f aca="false">IF(AND(H95="voice",ISNUMBER(L95)),L95,"")</f>
        <v/>
      </c>
      <c r="U95" s="24" t="str">
        <f aca="false">IF(AND(H95="text",ISNUMBER(L95)),L95,"")</f>
        <v/>
      </c>
      <c r="V95" s="24" t="str">
        <f aca="false">IF(AND(H95="voice",ISNUMBER(M95)),M95,"")</f>
        <v/>
      </c>
      <c r="W95" s="24" t="str">
        <f aca="false">IF(AND(H95="text",ISNUMBER(M95)),M95,"")</f>
        <v/>
      </c>
      <c r="X95" s="24" t="str">
        <f aca="false">IF(AND(H95="voice",ISNUMBER(J95)),J95,"")</f>
        <v/>
      </c>
      <c r="Y95" s="24" t="str">
        <f aca="false">IF(AND(H95="text",ISNUMBER(J95)),J95,"")</f>
        <v/>
      </c>
    </row>
    <row r="96" customFormat="false" ht="15" hidden="false" customHeight="false" outlineLevel="0" collapsed="false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24" t="str">
        <f aca="false">IF(AND(H96="voice",ISNUMBER(L96)),L96,"")</f>
        <v/>
      </c>
      <c r="U96" s="24" t="str">
        <f aca="false">IF(AND(H96="text",ISNUMBER(L96)),L96,"")</f>
        <v/>
      </c>
      <c r="V96" s="24" t="str">
        <f aca="false">IF(AND(H96="voice",ISNUMBER(M96)),M96,"")</f>
        <v/>
      </c>
      <c r="W96" s="24" t="str">
        <f aca="false">IF(AND(H96="text",ISNUMBER(M96)),M96,"")</f>
        <v/>
      </c>
      <c r="X96" s="24" t="str">
        <f aca="false">IF(AND(H96="voice",ISNUMBER(J96)),J96,"")</f>
        <v/>
      </c>
      <c r="Y96" s="24" t="str">
        <f aca="false">IF(AND(H96="text",ISNUMBER(J96)),J96,"")</f>
        <v/>
      </c>
    </row>
    <row r="97" customFormat="false" ht="15" hidden="false" customHeight="false" outlineLevel="0" collapsed="false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24" t="str">
        <f aca="false">IF(AND(H97="voice",ISNUMBER(L97)),L97,"")</f>
        <v/>
      </c>
      <c r="U97" s="24" t="str">
        <f aca="false">IF(AND(H97="text",ISNUMBER(L97)),L97,"")</f>
        <v/>
      </c>
      <c r="V97" s="24" t="str">
        <f aca="false">IF(AND(H97="voice",ISNUMBER(M97)),M97,"")</f>
        <v/>
      </c>
      <c r="W97" s="24" t="str">
        <f aca="false">IF(AND(H97="text",ISNUMBER(M97)),M97,"")</f>
        <v/>
      </c>
      <c r="X97" s="24" t="str">
        <f aca="false">IF(AND(H97="voice",ISNUMBER(J97)),J97,"")</f>
        <v/>
      </c>
      <c r="Y97" s="24" t="str">
        <f aca="false">IF(AND(H97="text",ISNUMBER(J97)),J97,"")</f>
        <v/>
      </c>
    </row>
    <row r="98" customFormat="false" ht="15" hidden="false" customHeight="false" outlineLevel="0" collapsed="false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24" t="str">
        <f aca="false">IF(AND(H98="voice",ISNUMBER(L98)),L98,"")</f>
        <v/>
      </c>
      <c r="U98" s="24" t="str">
        <f aca="false">IF(AND(H98="text",ISNUMBER(L98)),L98,"")</f>
        <v/>
      </c>
      <c r="V98" s="24" t="str">
        <f aca="false">IF(AND(H98="voice",ISNUMBER(M98)),M98,"")</f>
        <v/>
      </c>
      <c r="W98" s="24" t="str">
        <f aca="false">IF(AND(H98="text",ISNUMBER(M98)),M98,"")</f>
        <v/>
      </c>
      <c r="X98" s="24" t="str">
        <f aca="false">IF(AND(H98="voice",ISNUMBER(J98)),J98,"")</f>
        <v/>
      </c>
      <c r="Y98" s="24" t="str">
        <f aca="false">IF(AND(H98="text",ISNUMBER(J98)),J98,"")</f>
        <v/>
      </c>
    </row>
    <row r="99" customFormat="false" ht="15" hidden="false" customHeight="false" outlineLevel="0" collapsed="false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24" t="str">
        <f aca="false">IF(AND(H99="voice",ISNUMBER(L99)),L99,"")</f>
        <v/>
      </c>
      <c r="U99" s="24" t="str">
        <f aca="false">IF(AND(H99="text",ISNUMBER(L99)),L99,"")</f>
        <v/>
      </c>
      <c r="V99" s="24" t="str">
        <f aca="false">IF(AND(H99="voice",ISNUMBER(M99)),M99,"")</f>
        <v/>
      </c>
      <c r="W99" s="24" t="str">
        <f aca="false">IF(AND(H99="text",ISNUMBER(M99)),M99,"")</f>
        <v/>
      </c>
      <c r="X99" s="24" t="str">
        <f aca="false">IF(AND(H99="voice",ISNUMBER(J99)),J99,"")</f>
        <v/>
      </c>
      <c r="Y99" s="24" t="str">
        <f aca="false">IF(AND(H99="text",ISNUMBER(J99)),J99,"")</f>
        <v/>
      </c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24" t="str">
        <f aca="false">IF(AND(H100="voice",ISNUMBER(L100)),L100,"")</f>
        <v/>
      </c>
      <c r="U100" s="24" t="str">
        <f aca="false">IF(AND(H100="text",ISNUMBER(L100)),L100,"")</f>
        <v/>
      </c>
      <c r="V100" s="24" t="str">
        <f aca="false">IF(AND(H100="voice",ISNUMBER(M100)),M100,"")</f>
        <v/>
      </c>
      <c r="W100" s="24" t="str">
        <f aca="false">IF(AND(H100="text",ISNUMBER(M100)),M100,"")</f>
        <v/>
      </c>
      <c r="X100" s="24" t="str">
        <f aca="false">IF(AND(H100="voice",ISNUMBER(J100)),J100,"")</f>
        <v/>
      </c>
      <c r="Y100" s="24" t="str">
        <f aca="false">IF(AND(H100="text",ISNUMBER(J100)),J100,"")</f>
        <v/>
      </c>
    </row>
    <row r="101" customFormat="false" ht="15" hidden="false" customHeight="false" outlineLevel="0" collapsed="false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24" t="str">
        <f aca="false">IF(AND(H101="voice",ISNUMBER(L101)),L101,"")</f>
        <v/>
      </c>
      <c r="U101" s="24" t="str">
        <f aca="false">IF(AND(H101="text",ISNUMBER(L101)),L101,"")</f>
        <v/>
      </c>
      <c r="V101" s="24" t="str">
        <f aca="false">IF(AND(H101="voice",ISNUMBER(M101)),M101,"")</f>
        <v/>
      </c>
      <c r="W101" s="24" t="str">
        <f aca="false">IF(AND(H101="text",ISNUMBER(M101)),M101,"")</f>
        <v/>
      </c>
      <c r="X101" s="24" t="str">
        <f aca="false">IF(AND(H101="voice",ISNUMBER(J101)),J101,"")</f>
        <v/>
      </c>
      <c r="Y101" s="24" t="str">
        <f aca="false">IF(AND(H101="text",ISNUMBER(J101)),J101,"")</f>
        <v/>
      </c>
    </row>
    <row r="102" customFormat="false" ht="15" hidden="false" customHeight="false" outlineLevel="0" collapsed="false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24" t="str">
        <f aca="false">IF(AND(H102="voice",ISNUMBER(L102)),L102,"")</f>
        <v/>
      </c>
      <c r="U102" s="24" t="str">
        <f aca="false">IF(AND(H102="text",ISNUMBER(L102)),L102,"")</f>
        <v/>
      </c>
      <c r="V102" s="24" t="str">
        <f aca="false">IF(AND(H102="voice",ISNUMBER(M102)),M102,"")</f>
        <v/>
      </c>
      <c r="W102" s="24" t="str">
        <f aca="false">IF(AND(H102="text",ISNUMBER(M102)),M102,"")</f>
        <v/>
      </c>
      <c r="X102" s="24" t="str">
        <f aca="false">IF(AND(H102="voice",ISNUMBER(J102)),J102,"")</f>
        <v/>
      </c>
      <c r="Y102" s="24" t="str">
        <f aca="false">IF(AND(H102="text",ISNUMBER(J102)),J102,"")</f>
        <v/>
      </c>
    </row>
    <row r="103" customFormat="false" ht="15" hidden="false" customHeight="false" outlineLevel="0" collapsed="false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24" t="str">
        <f aca="false">IF(AND(H103="voice",ISNUMBER(L103)),L103,"")</f>
        <v/>
      </c>
      <c r="U103" s="24" t="str">
        <f aca="false">IF(AND(H103="text",ISNUMBER(L103)),L103,"")</f>
        <v/>
      </c>
      <c r="V103" s="24" t="str">
        <f aca="false">IF(AND(H103="voice",ISNUMBER(M103)),M103,"")</f>
        <v/>
      </c>
      <c r="W103" s="24" t="str">
        <f aca="false">IF(AND(H103="text",ISNUMBER(M103)),M103,"")</f>
        <v/>
      </c>
      <c r="X103" s="24" t="str">
        <f aca="false">IF(AND(H103="voice",ISNUMBER(J103)),J103,"")</f>
        <v/>
      </c>
      <c r="Y103" s="24" t="str">
        <f aca="false">IF(AND(H103="text",ISNUMBER(J103)),J103,"")</f>
        <v/>
      </c>
    </row>
    <row r="104" customFormat="false" ht="15" hidden="false" customHeight="false" outlineLevel="0" collapsed="false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24" t="str">
        <f aca="false">IF(AND(H104="voice",ISNUMBER(L104)),L104,"")</f>
        <v/>
      </c>
      <c r="U104" s="24" t="str">
        <f aca="false">IF(AND(H104="text",ISNUMBER(L104)),L104,"")</f>
        <v/>
      </c>
      <c r="V104" s="24" t="str">
        <f aca="false">IF(AND(H104="voice",ISNUMBER(M104)),M104,"")</f>
        <v/>
      </c>
      <c r="W104" s="24" t="str">
        <f aca="false">IF(AND(H104="text",ISNUMBER(M104)),M104,"")</f>
        <v/>
      </c>
      <c r="X104" s="24" t="str">
        <f aca="false">IF(AND(H104="voice",ISNUMBER(J104)),J104,"")</f>
        <v/>
      </c>
      <c r="Y104" s="24" t="str">
        <f aca="false">IF(AND(H104="text",ISNUMBER(J104)),J104,"")</f>
        <v/>
      </c>
    </row>
    <row r="105" customFormat="false" ht="15" hidden="false" customHeight="false" outlineLevel="0" collapsed="false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24" t="str">
        <f aca="false">IF(AND(H105="voice",ISNUMBER(L105)),L105,"")</f>
        <v/>
      </c>
      <c r="U105" s="24" t="str">
        <f aca="false">IF(AND(H105="text",ISNUMBER(L105)),L105,"")</f>
        <v/>
      </c>
      <c r="V105" s="24" t="str">
        <f aca="false">IF(AND(H105="voice",ISNUMBER(M105)),M105,"")</f>
        <v/>
      </c>
      <c r="W105" s="24" t="str">
        <f aca="false">IF(AND(H105="text",ISNUMBER(M105)),M105,"")</f>
        <v/>
      </c>
      <c r="X105" s="24" t="str">
        <f aca="false">IF(AND(H105="voice",ISNUMBER(J105)),J105,"")</f>
        <v/>
      </c>
      <c r="Y105" s="24" t="str">
        <f aca="false">IF(AND(H105="text",ISNUMBER(J105)),J105,"")</f>
        <v/>
      </c>
    </row>
    <row r="106" customFormat="false" ht="15" hidden="false" customHeight="false" outlineLevel="0" collapsed="false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24" t="str">
        <f aca="false">IF(AND(H106="voice",ISNUMBER(L106)),L106,"")</f>
        <v/>
      </c>
      <c r="U106" s="24" t="str">
        <f aca="false">IF(AND(H106="text",ISNUMBER(L106)),L106,"")</f>
        <v/>
      </c>
      <c r="V106" s="24" t="str">
        <f aca="false">IF(AND(H106="voice",ISNUMBER(M106)),M106,"")</f>
        <v/>
      </c>
      <c r="W106" s="24" t="str">
        <f aca="false">IF(AND(H106="text",ISNUMBER(M106)),M106,"")</f>
        <v/>
      </c>
      <c r="X106" s="24" t="str">
        <f aca="false">IF(AND(H106="voice",ISNUMBER(J106)),J106,"")</f>
        <v/>
      </c>
      <c r="Y106" s="24" t="str">
        <f aca="false">IF(AND(H106="text",ISNUMBER(J106)),J106,"")</f>
        <v/>
      </c>
    </row>
    <row r="107" customFormat="false" ht="15" hidden="false" customHeight="false" outlineLevel="0" collapsed="false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24" t="str">
        <f aca="false">IF(AND(H107="voice",ISNUMBER(L107)),L107,"")</f>
        <v/>
      </c>
      <c r="U107" s="24" t="str">
        <f aca="false">IF(AND(H107="text",ISNUMBER(L107)),L107,"")</f>
        <v/>
      </c>
      <c r="V107" s="24" t="str">
        <f aca="false">IF(AND(H107="voice",ISNUMBER(M107)),M107,"")</f>
        <v/>
      </c>
      <c r="W107" s="24" t="str">
        <f aca="false">IF(AND(H107="text",ISNUMBER(M107)),M107,"")</f>
        <v/>
      </c>
      <c r="X107" s="24" t="str">
        <f aca="false">IF(AND(H107="voice",ISNUMBER(J107)),J107,"")</f>
        <v/>
      </c>
      <c r="Y107" s="24" t="str">
        <f aca="false">IF(AND(H107="text",ISNUMBER(J107)),J107,"")</f>
        <v/>
      </c>
    </row>
    <row r="108" customFormat="false" ht="15" hidden="false" customHeight="false" outlineLevel="0" collapsed="false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24" t="str">
        <f aca="false">IF(AND(H108="voice",ISNUMBER(L108)),L108,"")</f>
        <v/>
      </c>
      <c r="U108" s="24" t="str">
        <f aca="false">IF(AND(H108="text",ISNUMBER(L108)),L108,"")</f>
        <v/>
      </c>
      <c r="V108" s="24" t="str">
        <f aca="false">IF(AND(H108="voice",ISNUMBER(M108)),M108,"")</f>
        <v/>
      </c>
      <c r="W108" s="24" t="str">
        <f aca="false">IF(AND(H108="text",ISNUMBER(M108)),M108,"")</f>
        <v/>
      </c>
      <c r="X108" s="24" t="str">
        <f aca="false">IF(AND(H108="voice",ISNUMBER(J108)),J108,"")</f>
        <v/>
      </c>
      <c r="Y108" s="24" t="str">
        <f aca="false">IF(AND(H108="text",ISNUMBER(J108)),J108,"")</f>
        <v/>
      </c>
    </row>
    <row r="109" customFormat="false" ht="15" hidden="false" customHeight="false" outlineLevel="0" collapsed="false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24" t="str">
        <f aca="false">IF(AND(H109="voice",ISNUMBER(L109)),L109,"")</f>
        <v/>
      </c>
      <c r="U109" s="24" t="str">
        <f aca="false">IF(AND(H109="text",ISNUMBER(L109)),L109,"")</f>
        <v/>
      </c>
      <c r="V109" s="24" t="str">
        <f aca="false">IF(AND(H109="voice",ISNUMBER(M109)),M109,"")</f>
        <v/>
      </c>
      <c r="W109" s="24" t="str">
        <f aca="false">IF(AND(H109="text",ISNUMBER(M109)),M109,"")</f>
        <v/>
      </c>
      <c r="X109" s="24" t="str">
        <f aca="false">IF(AND(H109="voice",ISNUMBER(J109)),J109,"")</f>
        <v/>
      </c>
      <c r="Y109" s="24" t="str">
        <f aca="false">IF(AND(H109="text",ISNUMBER(J109)),J109,"")</f>
        <v/>
      </c>
    </row>
    <row r="110" customFormat="false" ht="15" hidden="false" customHeight="false" outlineLevel="0" collapsed="false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24" t="str">
        <f aca="false">IF(AND(H110="voice",ISNUMBER(L110)),L110,"")</f>
        <v/>
      </c>
      <c r="U110" s="24" t="str">
        <f aca="false">IF(AND(H110="text",ISNUMBER(L110)),L110,"")</f>
        <v/>
      </c>
      <c r="V110" s="24" t="str">
        <f aca="false">IF(AND(H110="voice",ISNUMBER(M110)),M110,"")</f>
        <v/>
      </c>
      <c r="W110" s="24" t="str">
        <f aca="false">IF(AND(H110="text",ISNUMBER(M110)),M110,"")</f>
        <v/>
      </c>
      <c r="X110" s="24" t="str">
        <f aca="false">IF(AND(H110="voice",ISNUMBER(J110)),J110,"")</f>
        <v/>
      </c>
      <c r="Y110" s="24" t="str">
        <f aca="false">IF(AND(H110="text",ISNUMBER(J110)),J110,"")</f>
        <v/>
      </c>
    </row>
    <row r="111" customFormat="false" ht="15" hidden="false" customHeight="false" outlineLevel="0" collapsed="false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24" t="str">
        <f aca="false">IF(AND(H111="voice",ISNUMBER(L111)),L111,"")</f>
        <v/>
      </c>
      <c r="U111" s="24" t="str">
        <f aca="false">IF(AND(H111="text",ISNUMBER(L111)),L111,"")</f>
        <v/>
      </c>
      <c r="V111" s="24" t="str">
        <f aca="false">IF(AND(H111="voice",ISNUMBER(M111)),M111,"")</f>
        <v/>
      </c>
      <c r="W111" s="24" t="str">
        <f aca="false">IF(AND(H111="text",ISNUMBER(M111)),M111,"")</f>
        <v/>
      </c>
      <c r="X111" s="24" t="str">
        <f aca="false">IF(AND(H111="voice",ISNUMBER(J111)),J111,"")</f>
        <v/>
      </c>
      <c r="Y111" s="24" t="str">
        <f aca="false">IF(AND(H111="text",ISNUMBER(J111)),J111,"")</f>
        <v/>
      </c>
    </row>
    <row r="112" customFormat="false" ht="15" hidden="false" customHeight="false" outlineLevel="0" collapsed="false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24" t="str">
        <f aca="false">IF(AND(H112="voice",ISNUMBER(L112)),L112,"")</f>
        <v/>
      </c>
      <c r="U112" s="24" t="str">
        <f aca="false">IF(AND(H112="text",ISNUMBER(L112)),L112,"")</f>
        <v/>
      </c>
      <c r="V112" s="24" t="str">
        <f aca="false">IF(AND(H112="voice",ISNUMBER(M112)),M112,"")</f>
        <v/>
      </c>
      <c r="W112" s="24" t="str">
        <f aca="false">IF(AND(H112="text",ISNUMBER(M112)),M112,"")</f>
        <v/>
      </c>
      <c r="X112" s="24" t="str">
        <f aca="false">IF(AND(H112="voice",ISNUMBER(J112)),J112,"")</f>
        <v/>
      </c>
      <c r="Y112" s="24" t="str">
        <f aca="false">IF(AND(H112="text",ISNUMBER(J112)),J112,"")</f>
        <v/>
      </c>
    </row>
    <row r="113" customFormat="false" ht="15" hidden="false" customHeight="false" outlineLevel="0" collapsed="false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24" t="str">
        <f aca="false">IF(AND(H113="voice",ISNUMBER(L113)),L113,"")</f>
        <v/>
      </c>
      <c r="U113" s="24" t="str">
        <f aca="false">IF(AND(H113="text",ISNUMBER(L113)),L113,"")</f>
        <v/>
      </c>
      <c r="V113" s="24" t="str">
        <f aca="false">IF(AND(H113="voice",ISNUMBER(M113)),M113,"")</f>
        <v/>
      </c>
      <c r="W113" s="24" t="str">
        <f aca="false">IF(AND(H113="text",ISNUMBER(M113)),M113,"")</f>
        <v/>
      </c>
      <c r="X113" s="24" t="str">
        <f aca="false">IF(AND(H113="voice",ISNUMBER(J113)),J113,"")</f>
        <v/>
      </c>
      <c r="Y113" s="24" t="str">
        <f aca="false">IF(AND(H113="text",ISNUMBER(J113)),J113,"")</f>
        <v/>
      </c>
    </row>
    <row r="114" customFormat="false" ht="15" hidden="false" customHeight="false" outlineLevel="0" collapsed="false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24" t="str">
        <f aca="false">IF(AND(H114="voice",ISNUMBER(L114)),L114,"")</f>
        <v/>
      </c>
      <c r="U114" s="24" t="str">
        <f aca="false">IF(AND(H114="text",ISNUMBER(L114)),L114,"")</f>
        <v/>
      </c>
      <c r="V114" s="24" t="str">
        <f aca="false">IF(AND(H114="voice",ISNUMBER(M114)),M114,"")</f>
        <v/>
      </c>
      <c r="W114" s="24" t="str">
        <f aca="false">IF(AND(H114="text",ISNUMBER(M114)),M114,"")</f>
        <v/>
      </c>
      <c r="X114" s="24" t="str">
        <f aca="false">IF(AND(H114="voice",ISNUMBER(J114)),J114,"")</f>
        <v/>
      </c>
      <c r="Y114" s="24" t="str">
        <f aca="false">IF(AND(H114="text",ISNUMBER(J114)),J114,"")</f>
        <v/>
      </c>
    </row>
    <row r="115" customFormat="false" ht="15" hidden="false" customHeight="false" outlineLevel="0" collapsed="false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24" t="str">
        <f aca="false">IF(AND(H115="voice",ISNUMBER(L115)),L115,"")</f>
        <v/>
      </c>
      <c r="U115" s="24" t="str">
        <f aca="false">IF(AND(H115="text",ISNUMBER(L115)),L115,"")</f>
        <v/>
      </c>
      <c r="V115" s="24" t="str">
        <f aca="false">IF(AND(H115="voice",ISNUMBER(M115)),M115,"")</f>
        <v/>
      </c>
      <c r="W115" s="24" t="str">
        <f aca="false">IF(AND(H115="text",ISNUMBER(M115)),M115,"")</f>
        <v/>
      </c>
      <c r="X115" s="24" t="str">
        <f aca="false">IF(AND(H115="voice",ISNUMBER(J115)),J115,"")</f>
        <v/>
      </c>
      <c r="Y115" s="24" t="str">
        <f aca="false">IF(AND(H115="text",ISNUMBER(J115)),J115,"")</f>
        <v/>
      </c>
    </row>
    <row r="116" customFormat="false" ht="15" hidden="false" customHeight="false" outlineLevel="0" collapsed="false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24" t="str">
        <f aca="false">IF(AND(H116="voice",ISNUMBER(L116)),L116,"")</f>
        <v/>
      </c>
      <c r="U116" s="24" t="str">
        <f aca="false">IF(AND(H116="text",ISNUMBER(L116)),L116,"")</f>
        <v/>
      </c>
      <c r="V116" s="24" t="str">
        <f aca="false">IF(AND(H116="voice",ISNUMBER(M116)),M116,"")</f>
        <v/>
      </c>
      <c r="W116" s="24" t="str">
        <f aca="false">IF(AND(H116="text",ISNUMBER(M116)),M116,"")</f>
        <v/>
      </c>
      <c r="X116" s="24" t="str">
        <f aca="false">IF(AND(H116="voice",ISNUMBER(J116)),J116,"")</f>
        <v/>
      </c>
      <c r="Y116" s="24" t="str">
        <f aca="false">IF(AND(H116="text",ISNUMBER(J116)),J116,"")</f>
        <v/>
      </c>
    </row>
    <row r="117" customFormat="false" ht="15" hidden="false" customHeight="false" outlineLevel="0" collapsed="false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24" t="str">
        <f aca="false">IF(AND(H117="voice",ISNUMBER(L117)),L117,"")</f>
        <v/>
      </c>
      <c r="U117" s="24" t="str">
        <f aca="false">IF(AND(H117="text",ISNUMBER(L117)),L117,"")</f>
        <v/>
      </c>
      <c r="V117" s="24" t="str">
        <f aca="false">IF(AND(H117="voice",ISNUMBER(M117)),M117,"")</f>
        <v/>
      </c>
      <c r="W117" s="24" t="str">
        <f aca="false">IF(AND(H117="text",ISNUMBER(M117)),M117,"")</f>
        <v/>
      </c>
      <c r="X117" s="24" t="str">
        <f aca="false">IF(AND(H117="voice",ISNUMBER(J117)),J117,"")</f>
        <v/>
      </c>
      <c r="Y117" s="24" t="str">
        <f aca="false">IF(AND(H117="text",ISNUMBER(J117)),J117,"")</f>
        <v/>
      </c>
    </row>
    <row r="118" customFormat="false" ht="15" hidden="false" customHeight="false" outlineLevel="0" collapsed="false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24" t="str">
        <f aca="false">IF(AND(H118="voice",ISNUMBER(L118)),L118,"")</f>
        <v/>
      </c>
      <c r="U118" s="24" t="str">
        <f aca="false">IF(AND(H118="text",ISNUMBER(L118)),L118,"")</f>
        <v/>
      </c>
      <c r="V118" s="24" t="str">
        <f aca="false">IF(AND(H118="voice",ISNUMBER(M118)),M118,"")</f>
        <v/>
      </c>
      <c r="W118" s="24" t="str">
        <f aca="false">IF(AND(H118="text",ISNUMBER(M118)),M118,"")</f>
        <v/>
      </c>
      <c r="X118" s="24" t="str">
        <f aca="false">IF(AND(H118="voice",ISNUMBER(J118)),J118,"")</f>
        <v/>
      </c>
      <c r="Y118" s="24" t="str">
        <f aca="false">IF(AND(H118="text",ISNUMBER(J118)),J118,"")</f>
        <v/>
      </c>
    </row>
    <row r="119" customFormat="false" ht="15" hidden="false" customHeight="false" outlineLevel="0" collapsed="false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24" t="str">
        <f aca="false">IF(AND(H119="voice",ISNUMBER(L119)),L119,"")</f>
        <v/>
      </c>
      <c r="U119" s="24" t="str">
        <f aca="false">IF(AND(H119="text",ISNUMBER(L119)),L119,"")</f>
        <v/>
      </c>
      <c r="V119" s="24" t="str">
        <f aca="false">IF(AND(H119="voice",ISNUMBER(M119)),M119,"")</f>
        <v/>
      </c>
      <c r="W119" s="24" t="str">
        <f aca="false">IF(AND(H119="text",ISNUMBER(M119)),M119,"")</f>
        <v/>
      </c>
      <c r="X119" s="24" t="str">
        <f aca="false">IF(AND(H119="voice",ISNUMBER(J119)),J119,"")</f>
        <v/>
      </c>
      <c r="Y119" s="24" t="str">
        <f aca="false">IF(AND(H119="text",ISNUMBER(J119)),J119,"")</f>
        <v/>
      </c>
    </row>
    <row r="120" customFormat="false" ht="15" hidden="false" customHeight="false" outlineLevel="0" collapsed="false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24" t="str">
        <f aca="false">IF(AND(H120="voice",ISNUMBER(L120)),L120,"")</f>
        <v/>
      </c>
      <c r="U120" s="24" t="str">
        <f aca="false">IF(AND(H120="text",ISNUMBER(L120)),L120,"")</f>
        <v/>
      </c>
      <c r="V120" s="24" t="str">
        <f aca="false">IF(AND(H120="voice",ISNUMBER(M120)),M120,"")</f>
        <v/>
      </c>
      <c r="W120" s="24" t="str">
        <f aca="false">IF(AND(H120="text",ISNUMBER(M120)),M120,"")</f>
        <v/>
      </c>
      <c r="X120" s="24" t="str">
        <f aca="false">IF(AND(H120="voice",ISNUMBER(J120)),J120,"")</f>
        <v/>
      </c>
      <c r="Y120" s="24" t="str">
        <f aca="false">IF(AND(H120="text",ISNUMBER(J120)),J120,"")</f>
        <v/>
      </c>
    </row>
    <row r="121" customFormat="false" ht="15" hidden="false" customHeight="false" outlineLevel="0" collapsed="false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24" t="str">
        <f aca="false">IF(AND(H121="voice",ISNUMBER(L121)),L121,"")</f>
        <v/>
      </c>
      <c r="U121" s="24" t="str">
        <f aca="false">IF(AND(H121="text",ISNUMBER(L121)),L121,"")</f>
        <v/>
      </c>
      <c r="V121" s="24" t="str">
        <f aca="false">IF(AND(H121="voice",ISNUMBER(M121)),M121,"")</f>
        <v/>
      </c>
      <c r="W121" s="24" t="str">
        <f aca="false">IF(AND(H121="text",ISNUMBER(M121)),M121,"")</f>
        <v/>
      </c>
      <c r="X121" s="24" t="str">
        <f aca="false">IF(AND(H121="voice",ISNUMBER(J121)),J121,"")</f>
        <v/>
      </c>
      <c r="Y121" s="24" t="str">
        <f aca="false">IF(AND(H121="text",ISNUMBER(J121)),J121,"")</f>
        <v/>
      </c>
    </row>
    <row r="122" customFormat="false" ht="15" hidden="false" customHeight="false" outlineLevel="0" collapsed="false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24" t="str">
        <f aca="false">IF(AND(H122="voice",ISNUMBER(L122)),L122,"")</f>
        <v/>
      </c>
      <c r="U122" s="24" t="str">
        <f aca="false">IF(AND(H122="text",ISNUMBER(L122)),L122,"")</f>
        <v/>
      </c>
      <c r="V122" s="24" t="str">
        <f aca="false">IF(AND(H122="voice",ISNUMBER(M122)),M122,"")</f>
        <v/>
      </c>
      <c r="W122" s="24" t="str">
        <f aca="false">IF(AND(H122="text",ISNUMBER(M122)),M122,"")</f>
        <v/>
      </c>
      <c r="X122" s="24" t="str">
        <f aca="false">IF(AND(H122="voice",ISNUMBER(J122)),J122,"")</f>
        <v/>
      </c>
      <c r="Y122" s="24" t="str">
        <f aca="false">IF(AND(H122="text",ISNUMBER(J122)),J122,"")</f>
        <v/>
      </c>
    </row>
    <row r="123" customFormat="false" ht="15" hidden="false" customHeight="false" outlineLevel="0" collapsed="false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24" t="str">
        <f aca="false">IF(AND(H123="voice",ISNUMBER(L123)),L123,"")</f>
        <v/>
      </c>
      <c r="U123" s="24" t="str">
        <f aca="false">IF(AND(H123="text",ISNUMBER(L123)),L123,"")</f>
        <v/>
      </c>
      <c r="V123" s="24" t="str">
        <f aca="false">IF(AND(H123="voice",ISNUMBER(M123)),M123,"")</f>
        <v/>
      </c>
      <c r="W123" s="24" t="str">
        <f aca="false">IF(AND(H123="text",ISNUMBER(M123)),M123,"")</f>
        <v/>
      </c>
      <c r="X123" s="24" t="str">
        <f aca="false">IF(AND(H123="voice",ISNUMBER(J123)),J123,"")</f>
        <v/>
      </c>
      <c r="Y123" s="24" t="str">
        <f aca="false">IF(AND(H123="text",ISNUMBER(J123)),J123,"")</f>
        <v/>
      </c>
    </row>
    <row r="124" customFormat="false" ht="15" hidden="false" customHeight="false" outlineLevel="0" collapsed="false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24" t="str">
        <f aca="false">IF(AND(H124="voice",ISNUMBER(L124)),L124,"")</f>
        <v/>
      </c>
      <c r="U124" s="24" t="str">
        <f aca="false">IF(AND(H124="text",ISNUMBER(L124)),L124,"")</f>
        <v/>
      </c>
      <c r="V124" s="24" t="str">
        <f aca="false">IF(AND(H124="voice",ISNUMBER(M124)),M124,"")</f>
        <v/>
      </c>
      <c r="W124" s="24" t="str">
        <f aca="false">IF(AND(H124="text",ISNUMBER(M124)),M124,"")</f>
        <v/>
      </c>
      <c r="X124" s="24" t="str">
        <f aca="false">IF(AND(H124="voice",ISNUMBER(J124)),J124,"")</f>
        <v/>
      </c>
      <c r="Y124" s="24" t="str">
        <f aca="false">IF(AND(H124="text",ISNUMBER(J124)),J124,"")</f>
        <v/>
      </c>
    </row>
    <row r="125" customFormat="false" ht="15" hidden="false" customHeight="false" outlineLevel="0" collapsed="false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24" t="str">
        <f aca="false">IF(AND(H125="voice",ISNUMBER(L125)),L125,"")</f>
        <v/>
      </c>
      <c r="U125" s="24" t="str">
        <f aca="false">IF(AND(H125="text",ISNUMBER(L125)),L125,"")</f>
        <v/>
      </c>
      <c r="V125" s="24" t="str">
        <f aca="false">IF(AND(H125="voice",ISNUMBER(M125)),M125,"")</f>
        <v/>
      </c>
      <c r="W125" s="24" t="str">
        <f aca="false">IF(AND(H125="text",ISNUMBER(M125)),M125,"")</f>
        <v/>
      </c>
      <c r="X125" s="24" t="str">
        <f aca="false">IF(AND(H125="voice",ISNUMBER(J125)),J125,"")</f>
        <v/>
      </c>
      <c r="Y125" s="24" t="str">
        <f aca="false">IF(AND(H125="text",ISNUMBER(J125)),J125,"")</f>
        <v/>
      </c>
    </row>
    <row r="126" customFormat="false" ht="15" hidden="false" customHeight="false" outlineLevel="0" collapsed="false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24" t="str">
        <f aca="false">IF(AND(H126="voice",ISNUMBER(L126)),L126,"")</f>
        <v/>
      </c>
      <c r="U126" s="24" t="str">
        <f aca="false">IF(AND(H126="text",ISNUMBER(L126)),L126,"")</f>
        <v/>
      </c>
      <c r="V126" s="24" t="str">
        <f aca="false">IF(AND(H126="voice",ISNUMBER(M126)),M126,"")</f>
        <v/>
      </c>
      <c r="W126" s="24" t="str">
        <f aca="false">IF(AND(H126="text",ISNUMBER(M126)),M126,"")</f>
        <v/>
      </c>
      <c r="X126" s="24" t="str">
        <f aca="false">IF(AND(H126="voice",ISNUMBER(J126)),J126,"")</f>
        <v/>
      </c>
      <c r="Y126" s="24" t="str">
        <f aca="false">IF(AND(H126="text",ISNUMBER(J126)),J126,"")</f>
        <v/>
      </c>
    </row>
    <row r="127" customFormat="false" ht="15" hidden="false" customHeight="false" outlineLevel="0" collapsed="false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24" t="str">
        <f aca="false">IF(AND(H127="voice",ISNUMBER(L127)),L127,"")</f>
        <v/>
      </c>
      <c r="U127" s="24" t="str">
        <f aca="false">IF(AND(H127="text",ISNUMBER(L127)),L127,"")</f>
        <v/>
      </c>
      <c r="V127" s="24" t="str">
        <f aca="false">IF(AND(H127="voice",ISNUMBER(M127)),M127,"")</f>
        <v/>
      </c>
      <c r="W127" s="24" t="str">
        <f aca="false">IF(AND(H127="text",ISNUMBER(M127)),M127,"")</f>
        <v/>
      </c>
      <c r="X127" s="24" t="str">
        <f aca="false">IF(AND(H127="voice",ISNUMBER(J127)),J127,"")</f>
        <v/>
      </c>
      <c r="Y127" s="24" t="str">
        <f aca="false">IF(AND(H127="text",ISNUMBER(J127)),J127,"")</f>
        <v/>
      </c>
    </row>
    <row r="128" customFormat="false" ht="15" hidden="false" customHeight="false" outlineLevel="0" collapsed="false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24" t="str">
        <f aca="false">IF(AND(H128="voice",ISNUMBER(L128)),L128,"")</f>
        <v/>
      </c>
      <c r="U128" s="24" t="str">
        <f aca="false">IF(AND(H128="text",ISNUMBER(L128)),L128,"")</f>
        <v/>
      </c>
      <c r="V128" s="24" t="str">
        <f aca="false">IF(AND(H128="voice",ISNUMBER(M128)),M128,"")</f>
        <v/>
      </c>
      <c r="W128" s="24" t="str">
        <f aca="false">IF(AND(H128="text",ISNUMBER(M128)),M128,"")</f>
        <v/>
      </c>
      <c r="X128" s="24" t="str">
        <f aca="false">IF(AND(H128="voice",ISNUMBER(J128)),J128,"")</f>
        <v/>
      </c>
      <c r="Y128" s="24" t="str">
        <f aca="false">IF(AND(H128="text",ISNUMBER(J128)),J128,"")</f>
        <v/>
      </c>
    </row>
    <row r="129" customFormat="false" ht="15" hidden="false" customHeight="false" outlineLevel="0" collapsed="false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24" t="str">
        <f aca="false">IF(AND(H129="voice",ISNUMBER(L129)),L129,"")</f>
        <v/>
      </c>
      <c r="U129" s="24" t="str">
        <f aca="false">IF(AND(H129="text",ISNUMBER(L129)),L129,"")</f>
        <v/>
      </c>
      <c r="V129" s="24" t="str">
        <f aca="false">IF(AND(H129="voice",ISNUMBER(M129)),M129,"")</f>
        <v/>
      </c>
      <c r="W129" s="24" t="str">
        <f aca="false">IF(AND(H129="text",ISNUMBER(M129)),M129,"")</f>
        <v/>
      </c>
      <c r="X129" s="24" t="str">
        <f aca="false">IF(AND(H129="voice",ISNUMBER(J129)),J129,"")</f>
        <v/>
      </c>
      <c r="Y129" s="24" t="str">
        <f aca="false">IF(AND(H129="text",ISNUMBER(J129)),J129,"")</f>
        <v/>
      </c>
    </row>
    <row r="130" customFormat="false" ht="15" hidden="false" customHeight="false" outlineLevel="0" collapsed="false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24" t="str">
        <f aca="false">IF(AND(H130="voice",ISNUMBER(L130)),L130,"")</f>
        <v/>
      </c>
      <c r="U130" s="24" t="str">
        <f aca="false">IF(AND(H130="text",ISNUMBER(L130)),L130,"")</f>
        <v/>
      </c>
      <c r="V130" s="24" t="str">
        <f aca="false">IF(AND(H130="voice",ISNUMBER(M130)),M130,"")</f>
        <v/>
      </c>
      <c r="W130" s="24" t="str">
        <f aca="false">IF(AND(H130="text",ISNUMBER(M130)),M130,"")</f>
        <v/>
      </c>
      <c r="X130" s="24" t="str">
        <f aca="false">IF(AND(H130="voice",ISNUMBER(J130)),J130,"")</f>
        <v/>
      </c>
      <c r="Y130" s="24" t="str">
        <f aca="false">IF(AND(H130="text",ISNUMBER(J130)),J130,"")</f>
        <v/>
      </c>
    </row>
    <row r="131" customFormat="false" ht="15" hidden="false" customHeight="false" outlineLevel="0" collapsed="false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24" t="str">
        <f aca="false">IF(AND(H131="voice",ISNUMBER(L131)),L131,"")</f>
        <v/>
      </c>
      <c r="U131" s="24" t="str">
        <f aca="false">IF(AND(H131="text",ISNUMBER(L131)),L131,"")</f>
        <v/>
      </c>
      <c r="V131" s="24" t="str">
        <f aca="false">IF(AND(H131="voice",ISNUMBER(M131)),M131,"")</f>
        <v/>
      </c>
      <c r="W131" s="24" t="str">
        <f aca="false">IF(AND(H131="text",ISNUMBER(M131)),M131,"")</f>
        <v/>
      </c>
      <c r="X131" s="24" t="str">
        <f aca="false">IF(AND(H131="voice",ISNUMBER(J131)),J131,"")</f>
        <v/>
      </c>
      <c r="Y131" s="24" t="str">
        <f aca="false">IF(AND(H131="text",ISNUMBER(J131)),J131,"")</f>
        <v/>
      </c>
    </row>
    <row r="132" customFormat="false" ht="15" hidden="false" customHeight="false" outlineLevel="0" collapsed="false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24" t="str">
        <f aca="false">IF(AND(H132="voice",ISNUMBER(L132)),L132,"")</f>
        <v/>
      </c>
      <c r="U132" s="24" t="str">
        <f aca="false">IF(AND(H132="text",ISNUMBER(L132)),L132,"")</f>
        <v/>
      </c>
      <c r="V132" s="24" t="str">
        <f aca="false">IF(AND(H132="voice",ISNUMBER(M132)),M132,"")</f>
        <v/>
      </c>
      <c r="W132" s="24" t="str">
        <f aca="false">IF(AND(H132="text",ISNUMBER(M132)),M132,"")</f>
        <v/>
      </c>
      <c r="X132" s="24" t="str">
        <f aca="false">IF(AND(H132="voice",ISNUMBER(J132)),J132,"")</f>
        <v/>
      </c>
      <c r="Y132" s="24" t="str">
        <f aca="false">IF(AND(H132="text",ISNUMBER(J132)),J132,"")</f>
        <v/>
      </c>
    </row>
    <row r="133" customFormat="false" ht="15" hidden="false" customHeight="false" outlineLevel="0" collapsed="false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24" t="str">
        <f aca="false">IF(AND(H133="voice",ISNUMBER(L133)),L133,"")</f>
        <v/>
      </c>
      <c r="U133" s="24" t="str">
        <f aca="false">IF(AND(H133="text",ISNUMBER(L133)),L133,"")</f>
        <v/>
      </c>
      <c r="V133" s="24" t="str">
        <f aca="false">IF(AND(H133="voice",ISNUMBER(M133)),M133,"")</f>
        <v/>
      </c>
      <c r="W133" s="24" t="str">
        <f aca="false">IF(AND(H133="text",ISNUMBER(M133)),M133,"")</f>
        <v/>
      </c>
      <c r="X133" s="24" t="str">
        <f aca="false">IF(AND(H133="voice",ISNUMBER(J133)),J133,"")</f>
        <v/>
      </c>
      <c r="Y133" s="24" t="str">
        <f aca="false">IF(AND(H133="text",ISNUMBER(J133)),J133,"")</f>
        <v/>
      </c>
    </row>
    <row r="134" customFormat="false" ht="15" hidden="false" customHeight="false" outlineLevel="0" collapsed="false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24" t="str">
        <f aca="false">IF(AND(H134="voice",ISNUMBER(L134)),L134,"")</f>
        <v/>
      </c>
      <c r="U134" s="24" t="str">
        <f aca="false">IF(AND(H134="text",ISNUMBER(L134)),L134,"")</f>
        <v/>
      </c>
      <c r="V134" s="24" t="str">
        <f aca="false">IF(AND(H134="voice",ISNUMBER(M134)),M134,"")</f>
        <v/>
      </c>
      <c r="W134" s="24" t="str">
        <f aca="false">IF(AND(H134="text",ISNUMBER(M134)),M134,"")</f>
        <v/>
      </c>
      <c r="X134" s="24" t="str">
        <f aca="false">IF(AND(H134="voice",ISNUMBER(J134)),J134,"")</f>
        <v/>
      </c>
      <c r="Y134" s="24" t="str">
        <f aca="false">IF(AND(H134="text",ISNUMBER(J134)),J134,"")</f>
        <v/>
      </c>
    </row>
    <row r="135" customFormat="false" ht="15" hidden="false" customHeight="false" outlineLevel="0" collapsed="false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24" t="str">
        <f aca="false">IF(AND(H135="voice",ISNUMBER(L135)),L135,"")</f>
        <v/>
      </c>
      <c r="U135" s="24" t="str">
        <f aca="false">IF(AND(H135="text",ISNUMBER(L135)),L135,"")</f>
        <v/>
      </c>
      <c r="V135" s="24" t="str">
        <f aca="false">IF(AND(H135="voice",ISNUMBER(M135)),M135,"")</f>
        <v/>
      </c>
      <c r="W135" s="24" t="str">
        <f aca="false">IF(AND(H135="text",ISNUMBER(M135)),M135,"")</f>
        <v/>
      </c>
      <c r="X135" s="24" t="str">
        <f aca="false">IF(AND(H135="voice",ISNUMBER(J135)),J135,"")</f>
        <v/>
      </c>
      <c r="Y135" s="24" t="str">
        <f aca="false">IF(AND(H135="text",ISNUMBER(J135)),J135,"")</f>
        <v/>
      </c>
    </row>
    <row r="136" customFormat="false" ht="15" hidden="false" customHeight="false" outlineLevel="0" collapsed="false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24" t="str">
        <f aca="false">IF(AND(H136="voice",ISNUMBER(L136)),L136,"")</f>
        <v/>
      </c>
      <c r="U136" s="24" t="str">
        <f aca="false">IF(AND(H136="text",ISNUMBER(L136)),L136,"")</f>
        <v/>
      </c>
      <c r="V136" s="24" t="str">
        <f aca="false">IF(AND(H136="voice",ISNUMBER(M136)),M136,"")</f>
        <v/>
      </c>
      <c r="W136" s="24" t="str">
        <f aca="false">IF(AND(H136="text",ISNUMBER(M136)),M136,"")</f>
        <v/>
      </c>
      <c r="X136" s="24" t="str">
        <f aca="false">IF(AND(H136="voice",ISNUMBER(J136)),J136,"")</f>
        <v/>
      </c>
      <c r="Y136" s="24" t="str">
        <f aca="false">IF(AND(H136="text",ISNUMBER(J136)),J136,"")</f>
        <v/>
      </c>
    </row>
    <row r="137" customFormat="false" ht="15" hidden="false" customHeight="false" outlineLevel="0" collapsed="false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24" t="str">
        <f aca="false">IF(AND(H137="voice",ISNUMBER(L137)),L137,"")</f>
        <v/>
      </c>
      <c r="U137" s="24" t="str">
        <f aca="false">IF(AND(H137="text",ISNUMBER(L137)),L137,"")</f>
        <v/>
      </c>
      <c r="V137" s="24" t="str">
        <f aca="false">IF(AND(H137="voice",ISNUMBER(M137)),M137,"")</f>
        <v/>
      </c>
      <c r="W137" s="24" t="str">
        <f aca="false">IF(AND(H137="text",ISNUMBER(M137)),M137,"")</f>
        <v/>
      </c>
      <c r="X137" s="24" t="str">
        <f aca="false">IF(AND(H137="voice",ISNUMBER(J137)),J137,"")</f>
        <v/>
      </c>
      <c r="Y137" s="24" t="str">
        <f aca="false">IF(AND(H137="text",ISNUMBER(J137)),J137,"")</f>
        <v/>
      </c>
    </row>
    <row r="138" customFormat="false" ht="15" hidden="false" customHeight="false" outlineLevel="0" collapsed="false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24" t="str">
        <f aca="false">IF(AND(H138="voice",ISNUMBER(L138)),L138,"")</f>
        <v/>
      </c>
      <c r="U138" s="24" t="str">
        <f aca="false">IF(AND(H138="text",ISNUMBER(L138)),L138,"")</f>
        <v/>
      </c>
      <c r="V138" s="24" t="str">
        <f aca="false">IF(AND(H138="voice",ISNUMBER(M138)),M138,"")</f>
        <v/>
      </c>
      <c r="W138" s="24" t="str">
        <f aca="false">IF(AND(H138="text",ISNUMBER(M138)),M138,"")</f>
        <v/>
      </c>
      <c r="X138" s="24" t="str">
        <f aca="false">IF(AND(H138="voice",ISNUMBER(J138)),J138,"")</f>
        <v/>
      </c>
      <c r="Y138" s="24" t="str">
        <f aca="false">IF(AND(H138="text",ISNUMBER(J138)),J138,"")</f>
        <v/>
      </c>
    </row>
    <row r="139" customFormat="false" ht="15" hidden="false" customHeight="false" outlineLevel="0" collapsed="false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24" t="str">
        <f aca="false">IF(AND(H139="voice",ISNUMBER(L139)),L139,"")</f>
        <v/>
      </c>
      <c r="U139" s="24" t="str">
        <f aca="false">IF(AND(H139="text",ISNUMBER(L139)),L139,"")</f>
        <v/>
      </c>
      <c r="V139" s="24" t="str">
        <f aca="false">IF(AND(H139="voice",ISNUMBER(M139)),M139,"")</f>
        <v/>
      </c>
      <c r="W139" s="24" t="str">
        <f aca="false">IF(AND(H139="text",ISNUMBER(M139)),M139,"")</f>
        <v/>
      </c>
      <c r="X139" s="24" t="str">
        <f aca="false">IF(AND(H139="voice",ISNUMBER(J139)),J139,"")</f>
        <v/>
      </c>
      <c r="Y139" s="24" t="str">
        <f aca="false">IF(AND(H139="text",ISNUMBER(J139)),J139,"")</f>
        <v/>
      </c>
    </row>
    <row r="140" customFormat="false" ht="15" hidden="false" customHeight="false" outlineLevel="0" collapsed="false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24" t="str">
        <f aca="false">IF(AND(H140="voice",ISNUMBER(L140)),L140,"")</f>
        <v/>
      </c>
      <c r="U140" s="24" t="str">
        <f aca="false">IF(AND(H140="text",ISNUMBER(L140)),L140,"")</f>
        <v/>
      </c>
      <c r="V140" s="24" t="str">
        <f aca="false">IF(AND(H140="voice",ISNUMBER(M140)),M140,"")</f>
        <v/>
      </c>
      <c r="W140" s="24" t="str">
        <f aca="false">IF(AND(H140="text",ISNUMBER(M140)),M140,"")</f>
        <v/>
      </c>
      <c r="X140" s="24" t="str">
        <f aca="false">IF(AND(H140="voice",ISNUMBER(J140)),J140,"")</f>
        <v/>
      </c>
      <c r="Y140" s="24" t="str">
        <f aca="false">IF(AND(H140="text",ISNUMBER(J140)),J140,"")</f>
        <v/>
      </c>
    </row>
    <row r="141" customFormat="false" ht="15" hidden="false" customHeight="false" outlineLevel="0" collapsed="false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24" t="str">
        <f aca="false">IF(AND(H141="voice",ISNUMBER(L141)),L141,"")</f>
        <v/>
      </c>
      <c r="U141" s="24" t="str">
        <f aca="false">IF(AND(H141="text",ISNUMBER(L141)),L141,"")</f>
        <v/>
      </c>
      <c r="V141" s="24" t="str">
        <f aca="false">IF(AND(H141="voice",ISNUMBER(M141)),M141,"")</f>
        <v/>
      </c>
      <c r="W141" s="24" t="str">
        <f aca="false">IF(AND(H141="text",ISNUMBER(M141)),M141,"")</f>
        <v/>
      </c>
      <c r="X141" s="24" t="str">
        <f aca="false">IF(AND(H141="voice",ISNUMBER(J141)),J141,"")</f>
        <v/>
      </c>
      <c r="Y141" s="24" t="str">
        <f aca="false">IF(AND(H141="text",ISNUMBER(J141)),J141,"")</f>
        <v/>
      </c>
    </row>
    <row r="142" customFormat="false" ht="15" hidden="false" customHeight="false" outlineLevel="0" collapsed="false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24" t="str">
        <f aca="false">IF(AND(H142="voice",ISNUMBER(L142)),L142,"")</f>
        <v/>
      </c>
      <c r="U142" s="24" t="str">
        <f aca="false">IF(AND(H142="text",ISNUMBER(L142)),L142,"")</f>
        <v/>
      </c>
      <c r="V142" s="24" t="str">
        <f aca="false">IF(AND(H142="voice",ISNUMBER(M142)),M142,"")</f>
        <v/>
      </c>
      <c r="W142" s="24" t="str">
        <f aca="false">IF(AND(H142="text",ISNUMBER(M142)),M142,"")</f>
        <v/>
      </c>
      <c r="X142" s="24" t="str">
        <f aca="false">IF(AND(H142="voice",ISNUMBER(J142)),J142,"")</f>
        <v/>
      </c>
      <c r="Y142" s="24" t="str">
        <f aca="false">IF(AND(H142="text",ISNUMBER(J142)),J142,"")</f>
        <v/>
      </c>
    </row>
    <row r="143" customFormat="false" ht="15" hidden="false" customHeight="false" outlineLevel="0" collapsed="false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24" t="str">
        <f aca="false">IF(AND(H143="voice",ISNUMBER(L143)),L143,"")</f>
        <v/>
      </c>
      <c r="U143" s="24" t="str">
        <f aca="false">IF(AND(H143="text",ISNUMBER(L143)),L143,"")</f>
        <v/>
      </c>
      <c r="V143" s="24" t="str">
        <f aca="false">IF(AND(H143="voice",ISNUMBER(M143)),M143,"")</f>
        <v/>
      </c>
      <c r="W143" s="24" t="str">
        <f aca="false">IF(AND(H143="text",ISNUMBER(M143)),M143,"")</f>
        <v/>
      </c>
      <c r="X143" s="24" t="str">
        <f aca="false">IF(AND(H143="voice",ISNUMBER(J143)),J143,"")</f>
        <v/>
      </c>
      <c r="Y143" s="24" t="str">
        <f aca="false">IF(AND(H143="text",ISNUMBER(J143)),J143,"")</f>
        <v/>
      </c>
    </row>
    <row r="144" customFormat="false" ht="15" hidden="false" customHeight="false" outlineLevel="0" collapsed="false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24" t="str">
        <f aca="false">IF(AND(H144="voice",ISNUMBER(L144)),L144,"")</f>
        <v/>
      </c>
      <c r="U144" s="24" t="str">
        <f aca="false">IF(AND(H144="text",ISNUMBER(L144)),L144,"")</f>
        <v/>
      </c>
      <c r="V144" s="24" t="str">
        <f aca="false">IF(AND(H144="voice",ISNUMBER(M144)),M144,"")</f>
        <v/>
      </c>
      <c r="W144" s="24" t="str">
        <f aca="false">IF(AND(H144="text",ISNUMBER(M144)),M144,"")</f>
        <v/>
      </c>
      <c r="X144" s="24" t="str">
        <f aca="false">IF(AND(H144="voice",ISNUMBER(J144)),J144,"")</f>
        <v/>
      </c>
      <c r="Y144" s="24" t="str">
        <f aca="false">IF(AND(H144="text",ISNUMBER(J144)),J144,"")</f>
        <v/>
      </c>
    </row>
    <row r="145" customFormat="false" ht="15" hidden="false" customHeight="false" outlineLevel="0" collapsed="false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24" t="str">
        <f aca="false">IF(AND(H145="voice",ISNUMBER(L145)),L145,"")</f>
        <v/>
      </c>
      <c r="U145" s="24" t="str">
        <f aca="false">IF(AND(H145="text",ISNUMBER(L145)),L145,"")</f>
        <v/>
      </c>
      <c r="V145" s="24" t="str">
        <f aca="false">IF(AND(H145="voice",ISNUMBER(M145)),M145,"")</f>
        <v/>
      </c>
      <c r="W145" s="24" t="str">
        <f aca="false">IF(AND(H145="text",ISNUMBER(M145)),M145,"")</f>
        <v/>
      </c>
      <c r="X145" s="24" t="str">
        <f aca="false">IF(AND(H145="voice",ISNUMBER(J145)),J145,"")</f>
        <v/>
      </c>
      <c r="Y145" s="24" t="str">
        <f aca="false">IF(AND(H145="text",ISNUMBER(J145)),J145,"")</f>
        <v/>
      </c>
    </row>
    <row r="146" customFormat="false" ht="15" hidden="false" customHeight="false" outlineLevel="0" collapsed="false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24" t="str">
        <f aca="false">IF(AND(H146="voice",ISNUMBER(L146)),L146,"")</f>
        <v/>
      </c>
      <c r="U146" s="24" t="str">
        <f aca="false">IF(AND(H146="text",ISNUMBER(L146)),L146,"")</f>
        <v/>
      </c>
      <c r="V146" s="24" t="str">
        <f aca="false">IF(AND(H146="voice",ISNUMBER(M146)),M146,"")</f>
        <v/>
      </c>
      <c r="W146" s="24" t="str">
        <f aca="false">IF(AND(H146="text",ISNUMBER(M146)),M146,"")</f>
        <v/>
      </c>
      <c r="X146" s="24" t="str">
        <f aca="false">IF(AND(H146="voice",ISNUMBER(J146)),J146,"")</f>
        <v/>
      </c>
      <c r="Y146" s="24" t="str">
        <f aca="false">IF(AND(H146="text",ISNUMBER(J146)),J146,"")</f>
        <v/>
      </c>
    </row>
    <row r="147" customFormat="false" ht="15" hidden="false" customHeight="false" outlineLevel="0" collapsed="false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24" t="str">
        <f aca="false">IF(AND(H147="voice",ISNUMBER(L147)),L147,"")</f>
        <v/>
      </c>
      <c r="U147" s="24" t="str">
        <f aca="false">IF(AND(H147="text",ISNUMBER(L147)),L147,"")</f>
        <v/>
      </c>
      <c r="V147" s="24" t="str">
        <f aca="false">IF(AND(H147="voice",ISNUMBER(M147)),M147,"")</f>
        <v/>
      </c>
      <c r="W147" s="24" t="str">
        <f aca="false">IF(AND(H147="text",ISNUMBER(M147)),M147,"")</f>
        <v/>
      </c>
      <c r="X147" s="24" t="str">
        <f aca="false">IF(AND(H147="voice",ISNUMBER(J147)),J147,"")</f>
        <v/>
      </c>
      <c r="Y147" s="24" t="str">
        <f aca="false">IF(AND(H147="text",ISNUMBER(J147)),J147,"")</f>
        <v/>
      </c>
    </row>
    <row r="148" customFormat="false" ht="15" hidden="false" customHeight="false" outlineLevel="0" collapsed="false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24" t="str">
        <f aca="false">IF(AND(H148="voice",ISNUMBER(L148)),L148,"")</f>
        <v/>
      </c>
      <c r="U148" s="24" t="str">
        <f aca="false">IF(AND(H148="text",ISNUMBER(L148)),L148,"")</f>
        <v/>
      </c>
      <c r="V148" s="24" t="str">
        <f aca="false">IF(AND(H148="voice",ISNUMBER(M148)),M148,"")</f>
        <v/>
      </c>
      <c r="W148" s="24" t="str">
        <f aca="false">IF(AND(H148="text",ISNUMBER(M148)),M148,"")</f>
        <v/>
      </c>
      <c r="X148" s="24" t="str">
        <f aca="false">IF(AND(H148="voice",ISNUMBER(J148)),J148,"")</f>
        <v/>
      </c>
      <c r="Y148" s="24" t="str">
        <f aca="false">IF(AND(H148="text",ISNUMBER(J148)),J148,"")</f>
        <v/>
      </c>
    </row>
    <row r="149" customFormat="false" ht="15" hidden="false" customHeight="false" outlineLevel="0" collapsed="false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24" t="str">
        <f aca="false">IF(AND(H149="voice",ISNUMBER(L149)),L149,"")</f>
        <v/>
      </c>
      <c r="U149" s="24" t="str">
        <f aca="false">IF(AND(H149="text",ISNUMBER(L149)),L149,"")</f>
        <v/>
      </c>
      <c r="V149" s="24" t="str">
        <f aca="false">IF(AND(H149="voice",ISNUMBER(M149)),M149,"")</f>
        <v/>
      </c>
      <c r="W149" s="24" t="str">
        <f aca="false">IF(AND(H149="text",ISNUMBER(M149)),M149,"")</f>
        <v/>
      </c>
      <c r="X149" s="24" t="str">
        <f aca="false">IF(AND(H149="voice",ISNUMBER(J149)),J149,"")</f>
        <v/>
      </c>
      <c r="Y149" s="24" t="str">
        <f aca="false">IF(AND(H149="text",ISNUMBER(J149)),J149,"")</f>
        <v/>
      </c>
    </row>
    <row r="150" customFormat="false" ht="15" hidden="false" customHeight="false" outlineLevel="0" collapsed="false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24" t="str">
        <f aca="false">IF(AND(H150="voice",ISNUMBER(L150)),L150,"")</f>
        <v/>
      </c>
      <c r="U150" s="24" t="str">
        <f aca="false">IF(AND(H150="text",ISNUMBER(L150)),L150,"")</f>
        <v/>
      </c>
      <c r="V150" s="24" t="str">
        <f aca="false">IF(AND(H150="voice",ISNUMBER(M150)),M150,"")</f>
        <v/>
      </c>
      <c r="W150" s="24" t="str">
        <f aca="false">IF(AND(H150="text",ISNUMBER(M150)),M150,"")</f>
        <v/>
      </c>
      <c r="X150" s="24" t="str">
        <f aca="false">IF(AND(H150="voice",ISNUMBER(J150)),J150,"")</f>
        <v/>
      </c>
      <c r="Y150" s="24" t="str">
        <f aca="false">IF(AND(H150="text",ISNUMBER(J150)),J150,"")</f>
        <v/>
      </c>
    </row>
    <row r="151" customFormat="false" ht="15" hidden="false" customHeight="false" outlineLevel="0" collapsed="false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24" t="str">
        <f aca="false">IF(AND(H151="voice",ISNUMBER(L151)),L151,"")</f>
        <v/>
      </c>
      <c r="U151" s="24" t="str">
        <f aca="false">IF(AND(H151="text",ISNUMBER(L151)),L151,"")</f>
        <v/>
      </c>
      <c r="V151" s="24" t="str">
        <f aca="false">IF(AND(H151="voice",ISNUMBER(M151)),M151,"")</f>
        <v/>
      </c>
      <c r="W151" s="24" t="str">
        <f aca="false">IF(AND(H151="text",ISNUMBER(M151)),M151,"")</f>
        <v/>
      </c>
      <c r="X151" s="24" t="str">
        <f aca="false">IF(AND(H151="voice",ISNUMBER(J151)),J151,"")</f>
        <v/>
      </c>
      <c r="Y151" s="24" t="str">
        <f aca="false">IF(AND(H151="text",ISNUMBER(J151)),J151,"")</f>
        <v/>
      </c>
    </row>
    <row r="152" customFormat="false" ht="15" hidden="false" customHeight="false" outlineLevel="0" collapsed="false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24" t="str">
        <f aca="false">IF(AND(H152="voice",ISNUMBER(L152)),L152,"")</f>
        <v/>
      </c>
      <c r="U152" s="24" t="str">
        <f aca="false">IF(AND(H152="text",ISNUMBER(L152)),L152,"")</f>
        <v/>
      </c>
      <c r="V152" s="24" t="str">
        <f aca="false">IF(AND(H152="voice",ISNUMBER(M152)),M152,"")</f>
        <v/>
      </c>
      <c r="W152" s="24" t="str">
        <f aca="false">IF(AND(H152="text",ISNUMBER(M152)),M152,"")</f>
        <v/>
      </c>
      <c r="X152" s="24" t="str">
        <f aca="false">IF(AND(H152="voice",ISNUMBER(J152)),J152,"")</f>
        <v/>
      </c>
      <c r="Y152" s="24" t="str">
        <f aca="false">IF(AND(H152="text",ISNUMBER(J152)),J152,"")</f>
        <v/>
      </c>
    </row>
    <row r="153" customFormat="false" ht="15" hidden="false" customHeight="false" outlineLevel="0" collapsed="false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24" t="str">
        <f aca="false">IF(AND(H153="voice",ISNUMBER(L153)),L153,"")</f>
        <v/>
      </c>
      <c r="U153" s="24" t="str">
        <f aca="false">IF(AND(H153="text",ISNUMBER(L153)),L153,"")</f>
        <v/>
      </c>
      <c r="V153" s="24" t="str">
        <f aca="false">IF(AND(H153="voice",ISNUMBER(M153)),M153,"")</f>
        <v/>
      </c>
      <c r="W153" s="24" t="str">
        <f aca="false">IF(AND(H153="text",ISNUMBER(M153)),M153,"")</f>
        <v/>
      </c>
      <c r="X153" s="24" t="str">
        <f aca="false">IF(AND(H153="voice",ISNUMBER(J153)),J153,"")</f>
        <v/>
      </c>
      <c r="Y153" s="24" t="str">
        <f aca="false">IF(AND(H153="text",ISNUMBER(J153)),J153,"")</f>
        <v/>
      </c>
    </row>
    <row r="154" customFormat="false" ht="15" hidden="false" customHeight="false" outlineLevel="0" collapsed="false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24" t="str">
        <f aca="false">IF(AND(H154="voice",ISNUMBER(L154)),L154,"")</f>
        <v/>
      </c>
      <c r="U154" s="24" t="str">
        <f aca="false">IF(AND(H154="text",ISNUMBER(L154)),L154,"")</f>
        <v/>
      </c>
      <c r="V154" s="24" t="str">
        <f aca="false">IF(AND(H154="voice",ISNUMBER(M154)),M154,"")</f>
        <v/>
      </c>
      <c r="W154" s="24" t="str">
        <f aca="false">IF(AND(H154="text",ISNUMBER(M154)),M154,"")</f>
        <v/>
      </c>
      <c r="X154" s="24" t="str">
        <f aca="false">IF(AND(H154="voice",ISNUMBER(J154)),J154,"")</f>
        <v/>
      </c>
      <c r="Y154" s="24" t="str">
        <f aca="false">IF(AND(H154="text",ISNUMBER(J154)),J154,"")</f>
        <v/>
      </c>
    </row>
    <row r="155" customFormat="false" ht="15" hidden="false" customHeight="false" outlineLevel="0" collapsed="false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24" t="str">
        <f aca="false">IF(AND(H155="voice",ISNUMBER(L155)),L155,"")</f>
        <v/>
      </c>
      <c r="U155" s="24" t="str">
        <f aca="false">IF(AND(H155="text",ISNUMBER(L155)),L155,"")</f>
        <v/>
      </c>
      <c r="V155" s="24" t="str">
        <f aca="false">IF(AND(H155="voice",ISNUMBER(M155)),M155,"")</f>
        <v/>
      </c>
      <c r="W155" s="24" t="str">
        <f aca="false">IF(AND(H155="text",ISNUMBER(M155)),M155,"")</f>
        <v/>
      </c>
      <c r="X155" s="24" t="str">
        <f aca="false">IF(AND(H155="voice",ISNUMBER(J155)),J155,"")</f>
        <v/>
      </c>
      <c r="Y155" s="24" t="str">
        <f aca="false">IF(AND(H155="text",ISNUMBER(J155)),J155,"")</f>
        <v/>
      </c>
    </row>
    <row r="156" customFormat="false" ht="15" hidden="false" customHeight="false" outlineLevel="0" collapsed="false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24" t="str">
        <f aca="false">IF(AND(H156="voice",ISNUMBER(L156)),L156,"")</f>
        <v/>
      </c>
      <c r="U156" s="24" t="str">
        <f aca="false">IF(AND(H156="text",ISNUMBER(L156)),L156,"")</f>
        <v/>
      </c>
      <c r="V156" s="24" t="str">
        <f aca="false">IF(AND(H156="voice",ISNUMBER(M156)),M156,"")</f>
        <v/>
      </c>
      <c r="W156" s="24" t="str">
        <f aca="false">IF(AND(H156="text",ISNUMBER(M156)),M156,"")</f>
        <v/>
      </c>
      <c r="X156" s="24" t="str">
        <f aca="false">IF(AND(H156="voice",ISNUMBER(J156)),J156,"")</f>
        <v/>
      </c>
      <c r="Y156" s="24" t="str">
        <f aca="false">IF(AND(H156="text",ISNUMBER(J156)),J156,"")</f>
        <v/>
      </c>
    </row>
    <row r="157" customFormat="false" ht="15" hidden="false" customHeight="false" outlineLevel="0" collapsed="false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24" t="str">
        <f aca="false">IF(AND(H157="voice",ISNUMBER(L157)),L157,"")</f>
        <v/>
      </c>
      <c r="U157" s="24" t="str">
        <f aca="false">IF(AND(H157="text",ISNUMBER(L157)),L157,"")</f>
        <v/>
      </c>
      <c r="V157" s="24" t="str">
        <f aca="false">IF(AND(H157="voice",ISNUMBER(M157)),M157,"")</f>
        <v/>
      </c>
      <c r="W157" s="24" t="str">
        <f aca="false">IF(AND(H157="text",ISNUMBER(M157)),M157,"")</f>
        <v/>
      </c>
      <c r="X157" s="24" t="str">
        <f aca="false">IF(AND(H157="voice",ISNUMBER(J157)),J157,"")</f>
        <v/>
      </c>
      <c r="Y157" s="24" t="str">
        <f aca="false">IF(AND(H157="text",ISNUMBER(J157)),J157,"")</f>
        <v/>
      </c>
    </row>
    <row r="158" customFormat="false" ht="15" hidden="false" customHeight="false" outlineLevel="0" collapsed="false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24" t="str">
        <f aca="false">IF(AND(H158="voice",ISNUMBER(L158)),L158,"")</f>
        <v/>
      </c>
      <c r="U158" s="24" t="str">
        <f aca="false">IF(AND(H158="text",ISNUMBER(L158)),L158,"")</f>
        <v/>
      </c>
      <c r="V158" s="24" t="str">
        <f aca="false">IF(AND(H158="voice",ISNUMBER(M158)),M158,"")</f>
        <v/>
      </c>
      <c r="W158" s="24" t="str">
        <f aca="false">IF(AND(H158="text",ISNUMBER(M158)),M158,"")</f>
        <v/>
      </c>
      <c r="X158" s="24" t="str">
        <f aca="false">IF(AND(H158="voice",ISNUMBER(J158)),J158,"")</f>
        <v/>
      </c>
      <c r="Y158" s="24" t="str">
        <f aca="false">IF(AND(H158="text",ISNUMBER(J158)),J158,"")</f>
        <v/>
      </c>
    </row>
    <row r="159" customFormat="false" ht="15" hidden="false" customHeight="false" outlineLevel="0" collapsed="false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24" t="str">
        <f aca="false">IF(AND(H159="voice",ISNUMBER(L159)),L159,"")</f>
        <v/>
      </c>
      <c r="U159" s="24" t="str">
        <f aca="false">IF(AND(H159="text",ISNUMBER(L159)),L159,"")</f>
        <v/>
      </c>
      <c r="V159" s="24" t="str">
        <f aca="false">IF(AND(H159="voice",ISNUMBER(M159)),M159,"")</f>
        <v/>
      </c>
      <c r="W159" s="24" t="str">
        <f aca="false">IF(AND(H159="text",ISNUMBER(M159)),M159,"")</f>
        <v/>
      </c>
      <c r="X159" s="24" t="str">
        <f aca="false">IF(AND(H159="voice",ISNUMBER(J159)),J159,"")</f>
        <v/>
      </c>
      <c r="Y159" s="24" t="str">
        <f aca="false">IF(AND(H159="text",ISNUMBER(J159)),J159,"")</f>
        <v/>
      </c>
    </row>
    <row r="160" customFormat="false" ht="15" hidden="false" customHeight="false" outlineLevel="0" collapsed="false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24" t="str">
        <f aca="false">IF(AND(H160="voice",ISNUMBER(L160)),L160,"")</f>
        <v/>
      </c>
      <c r="U160" s="24" t="str">
        <f aca="false">IF(AND(H160="text",ISNUMBER(L160)),L160,"")</f>
        <v/>
      </c>
      <c r="V160" s="24" t="str">
        <f aca="false">IF(AND(H160="voice",ISNUMBER(M160)),M160,"")</f>
        <v/>
      </c>
      <c r="W160" s="24" t="str">
        <f aca="false">IF(AND(H160="text",ISNUMBER(M160)),M160,"")</f>
        <v/>
      </c>
      <c r="X160" s="24" t="str">
        <f aca="false">IF(AND(H160="voice",ISNUMBER(J160)),J160,"")</f>
        <v/>
      </c>
      <c r="Y160" s="24" t="str">
        <f aca="false">IF(AND(H160="text",ISNUMBER(J160)),J160,"")</f>
        <v/>
      </c>
    </row>
    <row r="161" customFormat="false" ht="15" hidden="false" customHeight="false" outlineLevel="0" collapsed="false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24" t="str">
        <f aca="false">IF(AND(H161="voice",ISNUMBER(L161)),L161,"")</f>
        <v/>
      </c>
      <c r="U161" s="24" t="str">
        <f aca="false">IF(AND(H161="text",ISNUMBER(L161)),L161,"")</f>
        <v/>
      </c>
      <c r="V161" s="24" t="str">
        <f aca="false">IF(AND(H161="voice",ISNUMBER(M161)),M161,"")</f>
        <v/>
      </c>
      <c r="W161" s="24" t="str">
        <f aca="false">IF(AND(H161="text",ISNUMBER(M161)),M161,"")</f>
        <v/>
      </c>
      <c r="X161" s="24" t="str">
        <f aca="false">IF(AND(H161="voice",ISNUMBER(J161)),J161,"")</f>
        <v/>
      </c>
      <c r="Y161" s="24" t="str">
        <f aca="false">IF(AND(H161="text",ISNUMBER(J161)),J161,"")</f>
        <v/>
      </c>
    </row>
    <row r="162" customFormat="false" ht="15" hidden="false" customHeight="false" outlineLevel="0" collapsed="false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24" t="str">
        <f aca="false">IF(AND(H162="voice",ISNUMBER(L162)),L162,"")</f>
        <v/>
      </c>
      <c r="U162" s="24" t="str">
        <f aca="false">IF(AND(H162="text",ISNUMBER(L162)),L162,"")</f>
        <v/>
      </c>
      <c r="V162" s="24" t="str">
        <f aca="false">IF(AND(H162="voice",ISNUMBER(M162)),M162,"")</f>
        <v/>
      </c>
      <c r="W162" s="24" t="str">
        <f aca="false">IF(AND(H162="text",ISNUMBER(M162)),M162,"")</f>
        <v/>
      </c>
      <c r="X162" s="24" t="str">
        <f aca="false">IF(AND(H162="voice",ISNUMBER(J162)),J162,"")</f>
        <v/>
      </c>
      <c r="Y162" s="24" t="str">
        <f aca="false">IF(AND(H162="text",ISNUMBER(J162)),J162,"")</f>
        <v/>
      </c>
    </row>
    <row r="163" customFormat="false" ht="15" hidden="false" customHeight="false" outlineLevel="0" collapsed="false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24" t="str">
        <f aca="false">IF(AND(H163="voice",ISNUMBER(L163)),L163,"")</f>
        <v/>
      </c>
      <c r="U163" s="24" t="str">
        <f aca="false">IF(AND(H163="text",ISNUMBER(L163)),L163,"")</f>
        <v/>
      </c>
      <c r="V163" s="24" t="str">
        <f aca="false">IF(AND(H163="voice",ISNUMBER(M163)),M163,"")</f>
        <v/>
      </c>
      <c r="W163" s="24" t="str">
        <f aca="false">IF(AND(H163="text",ISNUMBER(M163)),M163,"")</f>
        <v/>
      </c>
      <c r="X163" s="24" t="str">
        <f aca="false">IF(AND(H163="voice",ISNUMBER(J163)),J163,"")</f>
        <v/>
      </c>
      <c r="Y163" s="24" t="str">
        <f aca="false">IF(AND(H163="text",ISNUMBER(J163)),J163,"")</f>
        <v/>
      </c>
    </row>
    <row r="164" customFormat="false" ht="15" hidden="false" customHeight="false" outlineLevel="0" collapsed="false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24" t="str">
        <f aca="false">IF(AND(H164="voice",ISNUMBER(L164)),L164,"")</f>
        <v/>
      </c>
      <c r="U164" s="24" t="str">
        <f aca="false">IF(AND(H164="text",ISNUMBER(L164)),L164,"")</f>
        <v/>
      </c>
      <c r="V164" s="24" t="str">
        <f aca="false">IF(AND(H164="voice",ISNUMBER(M164)),M164,"")</f>
        <v/>
      </c>
      <c r="W164" s="24" t="str">
        <f aca="false">IF(AND(H164="text",ISNUMBER(M164)),M164,"")</f>
        <v/>
      </c>
      <c r="X164" s="24" t="str">
        <f aca="false">IF(AND(H164="voice",ISNUMBER(J164)),J164,"")</f>
        <v/>
      </c>
      <c r="Y164" s="24" t="str">
        <f aca="false">IF(AND(H164="text",ISNUMBER(J164)),J164,"")</f>
        <v/>
      </c>
    </row>
    <row r="165" customFormat="false" ht="15" hidden="false" customHeight="false" outlineLevel="0" collapsed="false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24" t="str">
        <f aca="false">IF(AND(H165="voice",ISNUMBER(L165)),L165,"")</f>
        <v/>
      </c>
      <c r="U165" s="24" t="str">
        <f aca="false">IF(AND(H165="text",ISNUMBER(L165)),L165,"")</f>
        <v/>
      </c>
      <c r="V165" s="24" t="str">
        <f aca="false">IF(AND(H165="voice",ISNUMBER(M165)),M165,"")</f>
        <v/>
      </c>
      <c r="W165" s="24" t="str">
        <f aca="false">IF(AND(H165="text",ISNUMBER(M165)),M165,"")</f>
        <v/>
      </c>
      <c r="X165" s="24" t="str">
        <f aca="false">IF(AND(H165="voice",ISNUMBER(J165)),J165,"")</f>
        <v/>
      </c>
      <c r="Y165" s="24" t="str">
        <f aca="false">IF(AND(H165="text",ISNUMBER(J165)),J165,"")</f>
        <v/>
      </c>
    </row>
    <row r="166" customFormat="false" ht="15" hidden="false" customHeight="false" outlineLevel="0" collapsed="false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24" t="str">
        <f aca="false">IF(AND(H166="voice",ISNUMBER(L166)),L166,"")</f>
        <v/>
      </c>
      <c r="U166" s="24" t="str">
        <f aca="false">IF(AND(H166="text",ISNUMBER(L166)),L166,"")</f>
        <v/>
      </c>
      <c r="V166" s="24" t="str">
        <f aca="false">IF(AND(H166="voice",ISNUMBER(M166)),M166,"")</f>
        <v/>
      </c>
      <c r="W166" s="24" t="str">
        <f aca="false">IF(AND(H166="text",ISNUMBER(M166)),M166,"")</f>
        <v/>
      </c>
      <c r="X166" s="24" t="str">
        <f aca="false">IF(AND(H166="voice",ISNUMBER(J166)),J166,"")</f>
        <v/>
      </c>
      <c r="Y166" s="24" t="str">
        <f aca="false">IF(AND(H166="text",ISNUMBER(J166)),J166,"")</f>
        <v/>
      </c>
    </row>
    <row r="167" customFormat="false" ht="15" hidden="false" customHeight="false" outlineLevel="0" collapsed="false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24" t="str">
        <f aca="false">IF(AND(H167="voice",ISNUMBER(L167)),L167,"")</f>
        <v/>
      </c>
      <c r="U167" s="24" t="str">
        <f aca="false">IF(AND(H167="text",ISNUMBER(L167)),L167,"")</f>
        <v/>
      </c>
      <c r="V167" s="24" t="str">
        <f aca="false">IF(AND(H167="voice",ISNUMBER(M167)),M167,"")</f>
        <v/>
      </c>
      <c r="W167" s="24" t="str">
        <f aca="false">IF(AND(H167="text",ISNUMBER(M167)),M167,"")</f>
        <v/>
      </c>
      <c r="X167" s="24" t="str">
        <f aca="false">IF(AND(H167="voice",ISNUMBER(J167)),J167,"")</f>
        <v/>
      </c>
      <c r="Y167" s="24" t="str">
        <f aca="false">IF(AND(H167="text",ISNUMBER(J167)),J167,"")</f>
        <v/>
      </c>
    </row>
    <row r="168" customFormat="false" ht="15" hidden="false" customHeight="false" outlineLevel="0" collapsed="false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24" t="str">
        <f aca="false">IF(AND(H168="voice",ISNUMBER(L168)),L168,"")</f>
        <v/>
      </c>
      <c r="U168" s="24" t="str">
        <f aca="false">IF(AND(H168="text",ISNUMBER(L168)),L168,"")</f>
        <v/>
      </c>
      <c r="V168" s="24" t="str">
        <f aca="false">IF(AND(H168="voice",ISNUMBER(M168)),M168,"")</f>
        <v/>
      </c>
      <c r="W168" s="24" t="str">
        <f aca="false">IF(AND(H168="text",ISNUMBER(M168)),M168,"")</f>
        <v/>
      </c>
      <c r="X168" s="24" t="str">
        <f aca="false">IF(AND(H168="voice",ISNUMBER(J168)),J168,"")</f>
        <v/>
      </c>
      <c r="Y168" s="24" t="str">
        <f aca="false">IF(AND(H168="text",ISNUMBER(J168)),J168,"")</f>
        <v/>
      </c>
    </row>
    <row r="169" customFormat="false" ht="15" hidden="false" customHeight="false" outlineLevel="0" collapsed="false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24" t="str">
        <f aca="false">IF(AND(H169="voice",ISNUMBER(L169)),L169,"")</f>
        <v/>
      </c>
      <c r="U169" s="24" t="str">
        <f aca="false">IF(AND(H169="text",ISNUMBER(L169)),L169,"")</f>
        <v/>
      </c>
      <c r="V169" s="24" t="str">
        <f aca="false">IF(AND(H169="voice",ISNUMBER(M169)),M169,"")</f>
        <v/>
      </c>
      <c r="W169" s="24" t="str">
        <f aca="false">IF(AND(H169="text",ISNUMBER(M169)),M169,"")</f>
        <v/>
      </c>
      <c r="X169" s="24" t="str">
        <f aca="false">IF(AND(H169="voice",ISNUMBER(J169)),J169,"")</f>
        <v/>
      </c>
      <c r="Y169" s="24" t="str">
        <f aca="false">IF(AND(H169="text",ISNUMBER(J169)),J169,"")</f>
        <v/>
      </c>
    </row>
    <row r="170" customFormat="false" ht="15" hidden="false" customHeight="false" outlineLevel="0" collapsed="false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24" t="str">
        <f aca="false">IF(AND(H170="voice",ISNUMBER(L170)),L170,"")</f>
        <v/>
      </c>
      <c r="U170" s="24" t="str">
        <f aca="false">IF(AND(H170="text",ISNUMBER(L170)),L170,"")</f>
        <v/>
      </c>
      <c r="V170" s="24" t="str">
        <f aca="false">IF(AND(H170="voice",ISNUMBER(M170)),M170,"")</f>
        <v/>
      </c>
      <c r="W170" s="24" t="str">
        <f aca="false">IF(AND(H170="text",ISNUMBER(M170)),M170,"")</f>
        <v/>
      </c>
      <c r="X170" s="24" t="str">
        <f aca="false">IF(AND(H170="voice",ISNUMBER(J170)),J170,"")</f>
        <v/>
      </c>
      <c r="Y170" s="24" t="str">
        <f aca="false">IF(AND(H170="text",ISNUMBER(J170)),J170,"")</f>
        <v/>
      </c>
    </row>
    <row r="171" customFormat="false" ht="15" hidden="false" customHeight="false" outlineLevel="0" collapsed="false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24" t="str">
        <f aca="false">IF(AND(H171="voice",ISNUMBER(L171)),L171,"")</f>
        <v/>
      </c>
      <c r="U171" s="24" t="str">
        <f aca="false">IF(AND(H171="text",ISNUMBER(L171)),L171,"")</f>
        <v/>
      </c>
      <c r="V171" s="24" t="str">
        <f aca="false">IF(AND(H171="voice",ISNUMBER(M171)),M171,"")</f>
        <v/>
      </c>
      <c r="W171" s="24" t="str">
        <f aca="false">IF(AND(H171="text",ISNUMBER(M171)),M171,"")</f>
        <v/>
      </c>
      <c r="X171" s="24" t="str">
        <f aca="false">IF(AND(H171="voice",ISNUMBER(J171)),J171,"")</f>
        <v/>
      </c>
      <c r="Y171" s="24" t="str">
        <f aca="false">IF(AND(H171="text",ISNUMBER(J171)),J171,"")</f>
        <v/>
      </c>
    </row>
    <row r="172" customFormat="false" ht="15" hidden="false" customHeight="false" outlineLevel="0" collapsed="false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24" t="str">
        <f aca="false">IF(AND(H172="voice",ISNUMBER(L172)),L172,"")</f>
        <v/>
      </c>
      <c r="U172" s="24" t="str">
        <f aca="false">IF(AND(H172="text",ISNUMBER(L172)),L172,"")</f>
        <v/>
      </c>
      <c r="V172" s="24" t="str">
        <f aca="false">IF(AND(H172="voice",ISNUMBER(M172)),M172,"")</f>
        <v/>
      </c>
      <c r="W172" s="24" t="str">
        <f aca="false">IF(AND(H172="text",ISNUMBER(M172)),M172,"")</f>
        <v/>
      </c>
      <c r="X172" s="24" t="str">
        <f aca="false">IF(AND(H172="voice",ISNUMBER(J172)),J172,"")</f>
        <v/>
      </c>
      <c r="Y172" s="24" t="str">
        <f aca="false">IF(AND(H172="text",ISNUMBER(J172)),J172,"")</f>
        <v/>
      </c>
    </row>
    <row r="173" customFormat="false" ht="15" hidden="false" customHeight="false" outlineLevel="0" collapsed="false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24" t="str">
        <f aca="false">IF(AND(H173="voice",ISNUMBER(L173)),L173,"")</f>
        <v/>
      </c>
      <c r="U173" s="24" t="str">
        <f aca="false">IF(AND(H173="text",ISNUMBER(L173)),L173,"")</f>
        <v/>
      </c>
      <c r="V173" s="24" t="str">
        <f aca="false">IF(AND(H173="voice",ISNUMBER(M173)),M173,"")</f>
        <v/>
      </c>
      <c r="W173" s="24" t="str">
        <f aca="false">IF(AND(H173="text",ISNUMBER(M173)),M173,"")</f>
        <v/>
      </c>
      <c r="X173" s="24" t="str">
        <f aca="false">IF(AND(H173="voice",ISNUMBER(J173)),J173,"")</f>
        <v/>
      </c>
      <c r="Y173" s="24" t="str">
        <f aca="false">IF(AND(H173="text",ISNUMBER(J173)),J173,"")</f>
        <v/>
      </c>
    </row>
    <row r="174" customFormat="false" ht="15" hidden="false" customHeight="false" outlineLevel="0" collapsed="false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24" t="str">
        <f aca="false">IF(AND(H174="voice",ISNUMBER(L174)),L174,"")</f>
        <v/>
      </c>
      <c r="U174" s="24" t="str">
        <f aca="false">IF(AND(H174="text",ISNUMBER(L174)),L174,"")</f>
        <v/>
      </c>
      <c r="V174" s="24" t="str">
        <f aca="false">IF(AND(H174="voice",ISNUMBER(M174)),M174,"")</f>
        <v/>
      </c>
      <c r="W174" s="24" t="str">
        <f aca="false">IF(AND(H174="text",ISNUMBER(M174)),M174,"")</f>
        <v/>
      </c>
      <c r="X174" s="24" t="str">
        <f aca="false">IF(AND(H174="voice",ISNUMBER(J174)),J174,"")</f>
        <v/>
      </c>
      <c r="Y174" s="24" t="str">
        <f aca="false">IF(AND(H174="text",ISNUMBER(J174)),J174,"")</f>
        <v/>
      </c>
    </row>
    <row r="175" customFormat="false" ht="15" hidden="false" customHeight="false" outlineLevel="0" collapsed="false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24" t="str">
        <f aca="false">IF(AND(H175="voice",ISNUMBER(L175)),L175,"")</f>
        <v/>
      </c>
      <c r="U175" s="24" t="str">
        <f aca="false">IF(AND(H175="text",ISNUMBER(L175)),L175,"")</f>
        <v/>
      </c>
      <c r="V175" s="24" t="str">
        <f aca="false">IF(AND(H175="voice",ISNUMBER(M175)),M175,"")</f>
        <v/>
      </c>
      <c r="W175" s="24" t="str">
        <f aca="false">IF(AND(H175="text",ISNUMBER(M175)),M175,"")</f>
        <v/>
      </c>
      <c r="X175" s="24" t="str">
        <f aca="false">IF(AND(H175="voice",ISNUMBER(J175)),J175,"")</f>
        <v/>
      </c>
      <c r="Y175" s="24" t="str">
        <f aca="false">IF(AND(H175="text",ISNUMBER(J175)),J175,"")</f>
        <v/>
      </c>
    </row>
    <row r="176" customFormat="false" ht="15" hidden="false" customHeight="false" outlineLevel="0" collapsed="false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24" t="str">
        <f aca="false">IF(AND(H176="voice",ISNUMBER(L176)),L176,"")</f>
        <v/>
      </c>
      <c r="U176" s="24" t="str">
        <f aca="false">IF(AND(H176="text",ISNUMBER(L176)),L176,"")</f>
        <v/>
      </c>
      <c r="V176" s="24" t="str">
        <f aca="false">IF(AND(H176="voice",ISNUMBER(M176)),M176,"")</f>
        <v/>
      </c>
      <c r="W176" s="24" t="str">
        <f aca="false">IF(AND(H176="text",ISNUMBER(M176)),M176,"")</f>
        <v/>
      </c>
      <c r="X176" s="24" t="str">
        <f aca="false">IF(AND(H176="voice",ISNUMBER(J176)),J176,"")</f>
        <v/>
      </c>
      <c r="Y176" s="24" t="str">
        <f aca="false">IF(AND(H176="text",ISNUMBER(J176)),J176,"")</f>
        <v/>
      </c>
    </row>
    <row r="177" customFormat="false" ht="15" hidden="false" customHeight="false" outlineLevel="0" collapsed="false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24" t="str">
        <f aca="false">IF(AND(H177="voice",ISNUMBER(L177)),L177,"")</f>
        <v/>
      </c>
      <c r="U177" s="24" t="str">
        <f aca="false">IF(AND(H177="text",ISNUMBER(L177)),L177,"")</f>
        <v/>
      </c>
      <c r="V177" s="24" t="str">
        <f aca="false">IF(AND(H177="voice",ISNUMBER(M177)),M177,"")</f>
        <v/>
      </c>
      <c r="W177" s="24" t="str">
        <f aca="false">IF(AND(H177="text",ISNUMBER(M177)),M177,"")</f>
        <v/>
      </c>
      <c r="X177" s="24" t="str">
        <f aca="false">IF(AND(H177="voice",ISNUMBER(J177)),J177,"")</f>
        <v/>
      </c>
      <c r="Y177" s="24" t="str">
        <f aca="false">IF(AND(H177="text",ISNUMBER(J177)),J177,"")</f>
        <v/>
      </c>
    </row>
    <row r="178" customFormat="false" ht="15" hidden="false" customHeight="false" outlineLevel="0" collapsed="false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24" t="str">
        <f aca="false">IF(AND(H178="voice",ISNUMBER(L178)),L178,"")</f>
        <v/>
      </c>
      <c r="U178" s="24" t="str">
        <f aca="false">IF(AND(H178="text",ISNUMBER(L178)),L178,"")</f>
        <v/>
      </c>
      <c r="V178" s="24" t="str">
        <f aca="false">IF(AND(H178="voice",ISNUMBER(M178)),M178,"")</f>
        <v/>
      </c>
      <c r="W178" s="24" t="str">
        <f aca="false">IF(AND(H178="text",ISNUMBER(M178)),M178,"")</f>
        <v/>
      </c>
      <c r="X178" s="24" t="str">
        <f aca="false">IF(AND(H178="voice",ISNUMBER(J178)),J178,"")</f>
        <v/>
      </c>
      <c r="Y178" s="24" t="str">
        <f aca="false">IF(AND(H178="text",ISNUMBER(J178)),J178,"")</f>
        <v/>
      </c>
    </row>
    <row r="179" customFormat="false" ht="15" hidden="false" customHeight="false" outlineLevel="0" collapsed="false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24" t="str">
        <f aca="false">IF(AND(H179="voice",ISNUMBER(L179)),L179,"")</f>
        <v/>
      </c>
      <c r="U179" s="24" t="str">
        <f aca="false">IF(AND(H179="text",ISNUMBER(L179)),L179,"")</f>
        <v/>
      </c>
      <c r="V179" s="24" t="str">
        <f aca="false">IF(AND(H179="voice",ISNUMBER(M179)),M179,"")</f>
        <v/>
      </c>
      <c r="W179" s="24" t="str">
        <f aca="false">IF(AND(H179="text",ISNUMBER(M179)),M179,"")</f>
        <v/>
      </c>
      <c r="X179" s="24" t="str">
        <f aca="false">IF(AND(H179="voice",ISNUMBER(J179)),J179,"")</f>
        <v/>
      </c>
      <c r="Y179" s="24" t="str">
        <f aca="false">IF(AND(H179="text",ISNUMBER(J179)),J179,"")</f>
        <v/>
      </c>
    </row>
    <row r="180" customFormat="false" ht="15" hidden="false" customHeight="false" outlineLevel="0" collapsed="false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24" t="str">
        <f aca="false">IF(AND(H180="voice",ISNUMBER(L180)),L180,"")</f>
        <v/>
      </c>
      <c r="U180" s="24" t="str">
        <f aca="false">IF(AND(H180="text",ISNUMBER(L180)),L180,"")</f>
        <v/>
      </c>
      <c r="V180" s="24" t="str">
        <f aca="false">IF(AND(H180="voice",ISNUMBER(M180)),M180,"")</f>
        <v/>
      </c>
      <c r="W180" s="24" t="str">
        <f aca="false">IF(AND(H180="text",ISNUMBER(M180)),M180,"")</f>
        <v/>
      </c>
      <c r="X180" s="24" t="str">
        <f aca="false">IF(AND(H180="voice",ISNUMBER(J180)),J180,"")</f>
        <v/>
      </c>
      <c r="Y180" s="24" t="str">
        <f aca="false">IF(AND(H180="text",ISNUMBER(J180)),J180,"")</f>
        <v/>
      </c>
    </row>
    <row r="181" customFormat="false" ht="15" hidden="false" customHeight="false" outlineLevel="0" collapsed="false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24" t="str">
        <f aca="false">IF(AND(H181="voice",ISNUMBER(L181)),L181,"")</f>
        <v/>
      </c>
      <c r="U181" s="24" t="str">
        <f aca="false">IF(AND(H181="text",ISNUMBER(L181)),L181,"")</f>
        <v/>
      </c>
      <c r="V181" s="24" t="str">
        <f aca="false">IF(AND(H181="voice",ISNUMBER(M181)),M181,"")</f>
        <v/>
      </c>
      <c r="W181" s="24" t="str">
        <f aca="false">IF(AND(H181="text",ISNUMBER(M181)),M181,"")</f>
        <v/>
      </c>
      <c r="X181" s="24" t="str">
        <f aca="false">IF(AND(H181="voice",ISNUMBER(J181)),J181,"")</f>
        <v/>
      </c>
      <c r="Y181" s="24" t="str">
        <f aca="false">IF(AND(H181="text",ISNUMBER(J181)),J181,"")</f>
        <v/>
      </c>
    </row>
    <row r="182" customFormat="false" ht="15" hidden="false" customHeight="false" outlineLevel="0" collapsed="false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24" t="str">
        <f aca="false">IF(AND(H182="voice",ISNUMBER(L182)),L182,"")</f>
        <v/>
      </c>
      <c r="U182" s="24" t="str">
        <f aca="false">IF(AND(H182="text",ISNUMBER(L182)),L182,"")</f>
        <v/>
      </c>
      <c r="V182" s="24" t="str">
        <f aca="false">IF(AND(H182="voice",ISNUMBER(M182)),M182,"")</f>
        <v/>
      </c>
      <c r="W182" s="24" t="str">
        <f aca="false">IF(AND(H182="text",ISNUMBER(M182)),M182,"")</f>
        <v/>
      </c>
      <c r="X182" s="24" t="str">
        <f aca="false">IF(AND(H182="voice",ISNUMBER(J182)),J182,"")</f>
        <v/>
      </c>
      <c r="Y182" s="24" t="str">
        <f aca="false">IF(AND(H182="text",ISNUMBER(J182)),J182,"")</f>
        <v/>
      </c>
    </row>
    <row r="183" customFormat="false" ht="15" hidden="false" customHeight="false" outlineLevel="0" collapsed="false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24" t="str">
        <f aca="false">IF(AND(H183="voice",ISNUMBER(L183)),L183,"")</f>
        <v/>
      </c>
      <c r="U183" s="24" t="str">
        <f aca="false">IF(AND(H183="text",ISNUMBER(L183)),L183,"")</f>
        <v/>
      </c>
      <c r="V183" s="24" t="str">
        <f aca="false">IF(AND(H183="voice",ISNUMBER(M183)),M183,"")</f>
        <v/>
      </c>
      <c r="W183" s="24" t="str">
        <f aca="false">IF(AND(H183="text",ISNUMBER(M183)),M183,"")</f>
        <v/>
      </c>
      <c r="X183" s="24" t="str">
        <f aca="false">IF(AND(H183="voice",ISNUMBER(J183)),J183,"")</f>
        <v/>
      </c>
      <c r="Y183" s="24" t="str">
        <f aca="false">IF(AND(H183="text",ISNUMBER(J183)),J183,"")</f>
        <v/>
      </c>
    </row>
    <row r="184" customFormat="false" ht="15" hidden="false" customHeight="false" outlineLevel="0" collapsed="false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24" t="str">
        <f aca="false">IF(AND(H184="voice",ISNUMBER(L184)),L184,"")</f>
        <v/>
      </c>
      <c r="U184" s="24" t="str">
        <f aca="false">IF(AND(H184="text",ISNUMBER(L184)),L184,"")</f>
        <v/>
      </c>
      <c r="V184" s="24" t="str">
        <f aca="false">IF(AND(H184="voice",ISNUMBER(M184)),M184,"")</f>
        <v/>
      </c>
      <c r="W184" s="24" t="str">
        <f aca="false">IF(AND(H184="text",ISNUMBER(M184)),M184,"")</f>
        <v/>
      </c>
      <c r="X184" s="24" t="str">
        <f aca="false">IF(AND(H184="voice",ISNUMBER(J184)),J184,"")</f>
        <v/>
      </c>
      <c r="Y184" s="24" t="str">
        <f aca="false">IF(AND(H184="text",ISNUMBER(J184)),J184,"")</f>
        <v/>
      </c>
    </row>
    <row r="185" customFormat="false" ht="15" hidden="false" customHeight="false" outlineLevel="0" collapsed="false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24" t="str">
        <f aca="false">IF(AND(H185="voice",ISNUMBER(L185)),L185,"")</f>
        <v/>
      </c>
      <c r="U185" s="24" t="str">
        <f aca="false">IF(AND(H185="text",ISNUMBER(L185)),L185,"")</f>
        <v/>
      </c>
      <c r="V185" s="24" t="str">
        <f aca="false">IF(AND(H185="voice",ISNUMBER(M185)),M185,"")</f>
        <v/>
      </c>
      <c r="W185" s="24" t="str">
        <f aca="false">IF(AND(H185="text",ISNUMBER(M185)),M185,"")</f>
        <v/>
      </c>
      <c r="X185" s="24" t="str">
        <f aca="false">IF(AND(H185="voice",ISNUMBER(J185)),J185,"")</f>
        <v/>
      </c>
      <c r="Y185" s="24" t="str">
        <f aca="false">IF(AND(H185="text",ISNUMBER(J185)),J185,"")</f>
        <v/>
      </c>
    </row>
    <row r="186" customFormat="false" ht="15" hidden="false" customHeight="false" outlineLevel="0" collapsed="false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24" t="str">
        <f aca="false">IF(AND(H186="voice",ISNUMBER(L186)),L186,"")</f>
        <v/>
      </c>
      <c r="U186" s="24" t="str">
        <f aca="false">IF(AND(H186="text",ISNUMBER(L186)),L186,"")</f>
        <v/>
      </c>
      <c r="V186" s="24" t="str">
        <f aca="false">IF(AND(H186="voice",ISNUMBER(M186)),M186,"")</f>
        <v/>
      </c>
      <c r="W186" s="24" t="str">
        <f aca="false">IF(AND(H186="text",ISNUMBER(M186)),M186,"")</f>
        <v/>
      </c>
      <c r="X186" s="24" t="str">
        <f aca="false">IF(AND(H186="voice",ISNUMBER(J186)),J186,"")</f>
        <v/>
      </c>
      <c r="Y186" s="24" t="str">
        <f aca="false">IF(AND(H186="text",ISNUMBER(J186)),J186,"")</f>
        <v/>
      </c>
    </row>
    <row r="187" customFormat="false" ht="15" hidden="false" customHeight="false" outlineLevel="0" collapsed="false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24" t="str">
        <f aca="false">IF(AND(H187="voice",ISNUMBER(L187)),L187,"")</f>
        <v/>
      </c>
      <c r="U187" s="24" t="str">
        <f aca="false">IF(AND(H187="text",ISNUMBER(L187)),L187,"")</f>
        <v/>
      </c>
      <c r="V187" s="24" t="str">
        <f aca="false">IF(AND(H187="voice",ISNUMBER(M187)),M187,"")</f>
        <v/>
      </c>
      <c r="W187" s="24" t="str">
        <f aca="false">IF(AND(H187="text",ISNUMBER(M187)),M187,"")</f>
        <v/>
      </c>
      <c r="X187" s="24" t="str">
        <f aca="false">IF(AND(H187="voice",ISNUMBER(J187)),J187,"")</f>
        <v/>
      </c>
      <c r="Y187" s="24" t="str">
        <f aca="false">IF(AND(H187="text",ISNUMBER(J187)),J187,"")</f>
        <v/>
      </c>
    </row>
    <row r="188" customFormat="false" ht="15" hidden="false" customHeight="false" outlineLevel="0" collapsed="false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24" t="str">
        <f aca="false">IF(AND(H188="voice",ISNUMBER(L188)),L188,"")</f>
        <v/>
      </c>
      <c r="U188" s="24" t="str">
        <f aca="false">IF(AND(H188="text",ISNUMBER(L188)),L188,"")</f>
        <v/>
      </c>
      <c r="V188" s="24" t="str">
        <f aca="false">IF(AND(H188="voice",ISNUMBER(M188)),M188,"")</f>
        <v/>
      </c>
      <c r="W188" s="24" t="str">
        <f aca="false">IF(AND(H188="text",ISNUMBER(M188)),M188,"")</f>
        <v/>
      </c>
      <c r="X188" s="24" t="str">
        <f aca="false">IF(AND(H188="voice",ISNUMBER(J188)),J188,"")</f>
        <v/>
      </c>
      <c r="Y188" s="24" t="str">
        <f aca="false">IF(AND(H188="text",ISNUMBER(J188)),J188,"")</f>
        <v/>
      </c>
    </row>
    <row r="189" customFormat="false" ht="15" hidden="false" customHeight="false" outlineLevel="0" collapsed="false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24" t="str">
        <f aca="false">IF(AND(H189="voice",ISNUMBER(L189)),L189,"")</f>
        <v/>
      </c>
      <c r="U189" s="24" t="str">
        <f aca="false">IF(AND(H189="text",ISNUMBER(L189)),L189,"")</f>
        <v/>
      </c>
      <c r="V189" s="24" t="str">
        <f aca="false">IF(AND(H189="voice",ISNUMBER(M189)),M189,"")</f>
        <v/>
      </c>
      <c r="W189" s="24" t="str">
        <f aca="false">IF(AND(H189="text",ISNUMBER(M189)),M189,"")</f>
        <v/>
      </c>
      <c r="X189" s="24" t="str">
        <f aca="false">IF(AND(H189="voice",ISNUMBER(J189)),J189,"")</f>
        <v/>
      </c>
      <c r="Y189" s="24" t="str">
        <f aca="false">IF(AND(H189="text",ISNUMBER(J189)),J189,"")</f>
        <v/>
      </c>
    </row>
    <row r="190" customFormat="false" ht="15" hidden="false" customHeight="false" outlineLevel="0" collapsed="false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24" t="str">
        <f aca="false">IF(AND(H190="voice",ISNUMBER(L190)),L190,"")</f>
        <v/>
      </c>
      <c r="U190" s="24" t="str">
        <f aca="false">IF(AND(H190="text",ISNUMBER(L190)),L190,"")</f>
        <v/>
      </c>
      <c r="V190" s="24" t="str">
        <f aca="false">IF(AND(H190="voice",ISNUMBER(M190)),M190,"")</f>
        <v/>
      </c>
      <c r="W190" s="24" t="str">
        <f aca="false">IF(AND(H190="text",ISNUMBER(M190)),M190,"")</f>
        <v/>
      </c>
      <c r="X190" s="24" t="str">
        <f aca="false">IF(AND(H190="voice",ISNUMBER(J190)),J190,"")</f>
        <v/>
      </c>
      <c r="Y190" s="24" t="str">
        <f aca="false">IF(AND(H190="text",ISNUMBER(J190)),J190,"")</f>
        <v/>
      </c>
    </row>
    <row r="191" customFormat="false" ht="15" hidden="false" customHeight="false" outlineLevel="0" collapsed="false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24" t="str">
        <f aca="false">IF(AND(H191="voice",ISNUMBER(L191)),L191,"")</f>
        <v/>
      </c>
      <c r="U191" s="24" t="str">
        <f aca="false">IF(AND(H191="text",ISNUMBER(L191)),L191,"")</f>
        <v/>
      </c>
      <c r="V191" s="24" t="str">
        <f aca="false">IF(AND(H191="voice",ISNUMBER(M191)),M191,"")</f>
        <v/>
      </c>
      <c r="W191" s="24" t="str">
        <f aca="false">IF(AND(H191="text",ISNUMBER(M191)),M191,"")</f>
        <v/>
      </c>
      <c r="X191" s="24" t="str">
        <f aca="false">IF(AND(H191="voice",ISNUMBER(J191)),J191,"")</f>
        <v/>
      </c>
      <c r="Y191" s="24" t="str">
        <f aca="false">IF(AND(H191="text",ISNUMBER(J191)),J191,"")</f>
        <v/>
      </c>
    </row>
    <row r="192" customFormat="false" ht="15" hidden="false" customHeight="false" outlineLevel="0" collapsed="false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24" t="str">
        <f aca="false">IF(AND(H192="voice",ISNUMBER(L192)),L192,"")</f>
        <v/>
      </c>
      <c r="U192" s="24" t="str">
        <f aca="false">IF(AND(H192="text",ISNUMBER(L192)),L192,"")</f>
        <v/>
      </c>
      <c r="V192" s="24" t="str">
        <f aca="false">IF(AND(H192="voice",ISNUMBER(M192)),M192,"")</f>
        <v/>
      </c>
      <c r="W192" s="24" t="str">
        <f aca="false">IF(AND(H192="text",ISNUMBER(M192)),M192,"")</f>
        <v/>
      </c>
      <c r="X192" s="24" t="str">
        <f aca="false">IF(AND(H192="voice",ISNUMBER(J192)),J192,"")</f>
        <v/>
      </c>
      <c r="Y192" s="24" t="str">
        <f aca="false">IF(AND(H192="text",ISNUMBER(J192)),J192,"")</f>
        <v/>
      </c>
    </row>
    <row r="193" customFormat="false" ht="15" hidden="false" customHeight="false" outlineLevel="0" collapsed="false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24" t="str">
        <f aca="false">IF(AND(H193="voice",ISNUMBER(L193)),L193,"")</f>
        <v/>
      </c>
      <c r="U193" s="24" t="str">
        <f aca="false">IF(AND(H193="text",ISNUMBER(L193)),L193,"")</f>
        <v/>
      </c>
      <c r="V193" s="24" t="str">
        <f aca="false">IF(AND(H193="voice",ISNUMBER(M193)),M193,"")</f>
        <v/>
      </c>
      <c r="W193" s="24" t="str">
        <f aca="false">IF(AND(H193="text",ISNUMBER(M193)),M193,"")</f>
        <v/>
      </c>
      <c r="X193" s="24" t="str">
        <f aca="false">IF(AND(H193="voice",ISNUMBER(J193)),J193,"")</f>
        <v/>
      </c>
      <c r="Y193" s="24" t="str">
        <f aca="false">IF(AND(H193="text",ISNUMBER(J193)),J193,"")</f>
        <v/>
      </c>
    </row>
    <row r="194" customFormat="false" ht="15" hidden="false" customHeight="false" outlineLevel="0" collapsed="false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24" t="str">
        <f aca="false">IF(AND(H194="voice",ISNUMBER(L194)),L194,"")</f>
        <v/>
      </c>
      <c r="U194" s="24" t="str">
        <f aca="false">IF(AND(H194="text",ISNUMBER(L194)),L194,"")</f>
        <v/>
      </c>
      <c r="V194" s="24" t="str">
        <f aca="false">IF(AND(H194="voice",ISNUMBER(M194)),M194,"")</f>
        <v/>
      </c>
      <c r="W194" s="24" t="str">
        <f aca="false">IF(AND(H194="text",ISNUMBER(M194)),M194,"")</f>
        <v/>
      </c>
      <c r="X194" s="24" t="str">
        <f aca="false">IF(AND(H194="voice",ISNUMBER(J194)),J194,"")</f>
        <v/>
      </c>
      <c r="Y194" s="24" t="str">
        <f aca="false">IF(AND(H194="text",ISNUMBER(J194)),J194,"")</f>
        <v/>
      </c>
    </row>
    <row r="195" customFormat="false" ht="15" hidden="false" customHeight="false" outlineLevel="0" collapsed="false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24" t="str">
        <f aca="false">IF(AND(H195="voice",ISNUMBER(L195)),L195,"")</f>
        <v/>
      </c>
      <c r="U195" s="24" t="str">
        <f aca="false">IF(AND(H195="text",ISNUMBER(L195)),L195,"")</f>
        <v/>
      </c>
      <c r="V195" s="24" t="str">
        <f aca="false">IF(AND(H195="voice",ISNUMBER(M195)),M195,"")</f>
        <v/>
      </c>
      <c r="W195" s="24" t="str">
        <f aca="false">IF(AND(H195="text",ISNUMBER(M195)),M195,"")</f>
        <v/>
      </c>
      <c r="X195" s="24" t="str">
        <f aca="false">IF(AND(H195="voice",ISNUMBER(J195)),J195,"")</f>
        <v/>
      </c>
      <c r="Y195" s="24" t="str">
        <f aca="false">IF(AND(H195="text",ISNUMBER(J195)),J195,"")</f>
        <v/>
      </c>
    </row>
    <row r="196" customFormat="false" ht="15" hidden="false" customHeight="false" outlineLevel="0" collapsed="false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24" t="str">
        <f aca="false">IF(AND(H196="voice",ISNUMBER(L196)),L196,"")</f>
        <v/>
      </c>
      <c r="U196" s="24" t="str">
        <f aca="false">IF(AND(H196="text",ISNUMBER(L196)),L196,"")</f>
        <v/>
      </c>
      <c r="V196" s="24" t="str">
        <f aca="false">IF(AND(H196="voice",ISNUMBER(M196)),M196,"")</f>
        <v/>
      </c>
      <c r="W196" s="24" t="str">
        <f aca="false">IF(AND(H196="text",ISNUMBER(M196)),M196,"")</f>
        <v/>
      </c>
      <c r="X196" s="24" t="str">
        <f aca="false">IF(AND(H196="voice",ISNUMBER(J196)),J196,"")</f>
        <v/>
      </c>
      <c r="Y196" s="24" t="str">
        <f aca="false">IF(AND(H196="text",ISNUMBER(J196)),J196,"")</f>
        <v/>
      </c>
    </row>
    <row r="197" customFormat="false" ht="15" hidden="false" customHeight="false" outlineLevel="0" collapsed="false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24" t="str">
        <f aca="false">IF(AND(H197="voice",ISNUMBER(L197)),L197,"")</f>
        <v/>
      </c>
      <c r="U197" s="24" t="str">
        <f aca="false">IF(AND(H197="text",ISNUMBER(L197)),L197,"")</f>
        <v/>
      </c>
      <c r="V197" s="24" t="str">
        <f aca="false">IF(AND(H197="voice",ISNUMBER(M197)),M197,"")</f>
        <v/>
      </c>
      <c r="W197" s="24" t="str">
        <f aca="false">IF(AND(H197="text",ISNUMBER(M197)),M197,"")</f>
        <v/>
      </c>
      <c r="X197" s="24" t="str">
        <f aca="false">IF(AND(H197="voice",ISNUMBER(J197)),J197,"")</f>
        <v/>
      </c>
      <c r="Y197" s="24" t="str">
        <f aca="false">IF(AND(H197="text",ISNUMBER(J197)),J197,"")</f>
        <v/>
      </c>
    </row>
    <row r="198" customFormat="false" ht="15" hidden="false" customHeight="false" outlineLevel="0" collapsed="false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24" t="str">
        <f aca="false">IF(AND(H198="voice",ISNUMBER(L198)),L198,"")</f>
        <v/>
      </c>
      <c r="U198" s="24" t="str">
        <f aca="false">IF(AND(H198="text",ISNUMBER(L198)),L198,"")</f>
        <v/>
      </c>
      <c r="V198" s="24" t="str">
        <f aca="false">IF(AND(H198="voice",ISNUMBER(M198)),M198,"")</f>
        <v/>
      </c>
      <c r="W198" s="24" t="str">
        <f aca="false">IF(AND(H198="text",ISNUMBER(M198)),M198,"")</f>
        <v/>
      </c>
      <c r="X198" s="24" t="str">
        <f aca="false">IF(AND(H198="voice",ISNUMBER(J198)),J198,"")</f>
        <v/>
      </c>
      <c r="Y198" s="24" t="str">
        <f aca="false">IF(AND(H198="text",ISNUMBER(J198)),J198,"")</f>
        <v/>
      </c>
    </row>
    <row r="199" customFormat="false" ht="15" hidden="false" customHeight="false" outlineLevel="0" collapsed="false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24" t="str">
        <f aca="false">IF(AND(H199="voice",ISNUMBER(L199)),L199,"")</f>
        <v/>
      </c>
      <c r="U199" s="24" t="str">
        <f aca="false">IF(AND(H199="text",ISNUMBER(L199)),L199,"")</f>
        <v/>
      </c>
      <c r="V199" s="24" t="str">
        <f aca="false">IF(AND(H199="voice",ISNUMBER(M199)),M199,"")</f>
        <v/>
      </c>
      <c r="W199" s="24" t="str">
        <f aca="false">IF(AND(H199="text",ISNUMBER(M199)),M199,"")</f>
        <v/>
      </c>
      <c r="X199" s="24" t="str">
        <f aca="false">IF(AND(H199="voice",ISNUMBER(J199)),J199,"")</f>
        <v/>
      </c>
      <c r="Y199" s="24" t="str">
        <f aca="false">IF(AND(H199="text",ISNUMBER(J199)),J199,"")</f>
        <v/>
      </c>
    </row>
    <row r="200" customFormat="false" ht="15" hidden="false" customHeight="false" outlineLevel="0" collapsed="false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24" t="str">
        <f aca="false">IF(AND(H200="voice",ISNUMBER(L200)),L200,"")</f>
        <v/>
      </c>
      <c r="U200" s="24" t="str">
        <f aca="false">IF(AND(H200="text",ISNUMBER(L200)),L200,"")</f>
        <v/>
      </c>
      <c r="V200" s="24" t="str">
        <f aca="false">IF(AND(H200="voice",ISNUMBER(M200)),M200,"")</f>
        <v/>
      </c>
      <c r="W200" s="24" t="str">
        <f aca="false">IF(AND(H200="text",ISNUMBER(M200)),M200,"")</f>
        <v/>
      </c>
      <c r="X200" s="24" t="str">
        <f aca="false">IF(AND(H200="voice",ISNUMBER(J200)),J200,"")</f>
        <v/>
      </c>
      <c r="Y200" s="24" t="str">
        <f aca="false">IF(AND(H200="text",ISNUMBER(J200)),J200,"")</f>
        <v/>
      </c>
    </row>
    <row r="201" customFormat="false" ht="15" hidden="false" customHeight="false" outlineLevel="0" collapsed="false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24" t="str">
        <f aca="false">IF(AND(H201="voice",ISNUMBER(L201)),L201,"")</f>
        <v/>
      </c>
      <c r="U201" s="24" t="str">
        <f aca="false">IF(AND(H201="text",ISNUMBER(L201)),L201,"")</f>
        <v/>
      </c>
      <c r="V201" s="24" t="str">
        <f aca="false">IF(AND(H201="voice",ISNUMBER(M201)),M201,"")</f>
        <v/>
      </c>
      <c r="W201" s="24" t="str">
        <f aca="false">IF(AND(H201="text",ISNUMBER(M201)),M201,"")</f>
        <v/>
      </c>
      <c r="X201" s="24" t="str">
        <f aca="false">IF(AND(H201="voice",ISNUMBER(J201)),J201,"")</f>
        <v/>
      </c>
      <c r="Y201" s="24" t="str">
        <f aca="false">IF(AND(H201="text",ISNUMBER(J201)),J201,"")</f>
        <v/>
      </c>
    </row>
    <row r="202" customFormat="false" ht="15" hidden="false" customHeight="false" outlineLevel="0" collapsed="false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24" t="str">
        <f aca="false">IF(AND(H202="voice",ISNUMBER(L202)),L202,"")</f>
        <v/>
      </c>
      <c r="U202" s="24" t="str">
        <f aca="false">IF(AND(H202="text",ISNUMBER(L202)),L202,"")</f>
        <v/>
      </c>
      <c r="V202" s="24" t="str">
        <f aca="false">IF(AND(H202="voice",ISNUMBER(M202)),M202,"")</f>
        <v/>
      </c>
      <c r="W202" s="24" t="str">
        <f aca="false">IF(AND(H202="text",ISNUMBER(M202)),M202,"")</f>
        <v/>
      </c>
      <c r="X202" s="24" t="str">
        <f aca="false">IF(AND(H202="voice",ISNUMBER(J202)),J202,"")</f>
        <v/>
      </c>
      <c r="Y202" s="24" t="str">
        <f aca="false">IF(AND(H202="text",ISNUMBER(J202)),J202,"")</f>
        <v/>
      </c>
    </row>
    <row r="203" customFormat="false" ht="15" hidden="false" customHeight="false" outlineLevel="0" collapsed="false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24" t="str">
        <f aca="false">IF(AND(H203="voice",ISNUMBER(L203)),L203,"")</f>
        <v/>
      </c>
      <c r="U203" s="24" t="str">
        <f aca="false">IF(AND(H203="text",ISNUMBER(L203)),L203,"")</f>
        <v/>
      </c>
      <c r="V203" s="24" t="str">
        <f aca="false">IF(AND(H203="voice",ISNUMBER(M203)),M203,"")</f>
        <v/>
      </c>
      <c r="W203" s="24" t="str">
        <f aca="false">IF(AND(H203="text",ISNUMBER(M203)),M203,"")</f>
        <v/>
      </c>
      <c r="X203" s="24" t="str">
        <f aca="false">IF(AND(H203="voice",ISNUMBER(J203)),J203,"")</f>
        <v/>
      </c>
      <c r="Y203" s="24" t="str">
        <f aca="false">IF(AND(H203="text",ISNUMBER(J203)),J203,"")</f>
        <v/>
      </c>
    </row>
    <row r="204" customFormat="false" ht="15" hidden="false" customHeight="false" outlineLevel="0" collapsed="false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24" t="str">
        <f aca="false">IF(AND(H204="voice",ISNUMBER(L204)),L204,"")</f>
        <v/>
      </c>
      <c r="U204" s="24" t="str">
        <f aca="false">IF(AND(H204="text",ISNUMBER(L204)),L204,"")</f>
        <v/>
      </c>
      <c r="V204" s="24" t="str">
        <f aca="false">IF(AND(H204="voice",ISNUMBER(M204)),M204,"")</f>
        <v/>
      </c>
      <c r="W204" s="24" t="str">
        <f aca="false">IF(AND(H204="text",ISNUMBER(M204)),M204,"")</f>
        <v/>
      </c>
      <c r="X204" s="24" t="str">
        <f aca="false">IF(AND(H204="voice",ISNUMBER(J204)),J204,"")</f>
        <v/>
      </c>
      <c r="Y204" s="24" t="str">
        <f aca="false">IF(AND(H204="text",ISNUMBER(J204)),J204,"")</f>
        <v/>
      </c>
    </row>
    <row r="205" customFormat="false" ht="15" hidden="false" customHeight="false" outlineLevel="0" collapsed="false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24" t="str">
        <f aca="false">IF(AND(H205="voice",ISNUMBER(L205)),L205,"")</f>
        <v/>
      </c>
      <c r="U205" s="24" t="str">
        <f aca="false">IF(AND(H205="text",ISNUMBER(L205)),L205,"")</f>
        <v/>
      </c>
      <c r="V205" s="24" t="str">
        <f aca="false">IF(AND(H205="voice",ISNUMBER(M205)),M205,"")</f>
        <v/>
      </c>
      <c r="W205" s="24" t="str">
        <f aca="false">IF(AND(H205="text",ISNUMBER(M205)),M205,"")</f>
        <v/>
      </c>
      <c r="X205" s="24" t="str">
        <f aca="false">IF(AND(H205="voice",ISNUMBER(J205)),J205,"")</f>
        <v/>
      </c>
      <c r="Y205" s="24" t="str">
        <f aca="false">IF(AND(H205="text",ISNUMBER(J205)),J205,"")</f>
        <v/>
      </c>
    </row>
  </sheetData>
  <dataValidations count="8">
    <dataValidation allowBlank="true" errorStyle="stop" operator="between" showDropDown="false" showErrorMessage="false" showInputMessage="false" sqref="D6:D205" type="list">
      <formula1>"don't know,friend of friend,know you"</formula1>
      <formula2>0</formula2>
    </dataValidation>
    <dataValidation allowBlank="true" errorStyle="stop" operator="between" showDropDown="false" showErrorMessage="false" showInputMessage="false" sqref="F6:F205" type="list">
      <formula1>"Y,N"</formula1>
      <formula2>0</formula2>
    </dataValidation>
    <dataValidation allowBlank="true" errorStyle="stop" operator="between" showDropDown="false" showErrorMessage="false" showInputMessage="false" sqref="G6:G205" type="list">
      <formula1>"Y,N"</formula1>
      <formula2>0</formula2>
    </dataValidation>
    <dataValidation allowBlank="true" errorStyle="stop" operator="between" showDropDown="false" showErrorMessage="false" showInputMessage="false" sqref="H6:H205" type="list">
      <formula1>"voice,text"</formula1>
      <formula2>0</formula2>
    </dataValidation>
    <dataValidation allowBlank="true" errorStyle="stop" operator="between" showDropDown="false" showErrorMessage="false" showInputMessage="false" sqref="I6:I205" type="list">
      <formula1>"Y,N"</formula1>
      <formula2>0</formula2>
    </dataValidation>
    <dataValidation allowBlank="true" errorStyle="stop" operator="between" showDropDown="false" showErrorMessage="false" showInputMessage="false" sqref="K6:K205" type="whole">
      <formula1>1</formula1>
      <formula2>8</formula2>
    </dataValidation>
    <dataValidation allowBlank="true" errorStyle="stop" operator="between" showDropDown="false" showErrorMessage="false" showInputMessage="false" sqref="L6:M205 O6:P205" type="whole">
      <formula1>1</formula1>
      <formula2>5</formula2>
    </dataValidation>
    <dataValidation allowBlank="true" errorStyle="stop" operator="between" showDropDown="false" showErrorMessage="false" showInputMessage="false" sqref="Q6:Q205" type="list">
      <formula1>"big city,town,coast,countryside,skipped"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130</v>
      </c>
    </row>
    <row r="2" customFormat="false" ht="15" hidden="false" customHeight="false" outlineLevel="0" collapsed="false">
      <c r="A2" s="6" t="s">
        <v>131</v>
      </c>
    </row>
    <row r="3" customFormat="false" ht="15" hidden="false" customHeight="false" outlineLevel="0" collapsed="false">
      <c r="A3" s="20" t="s">
        <v>72</v>
      </c>
    </row>
    <row r="4" customFormat="false" ht="15" hidden="false" customHeight="false" outlineLevel="0" collapsed="false">
      <c r="A4" s="21" t="s">
        <v>73</v>
      </c>
      <c r="B4" s="21" t="n">
        <v>2</v>
      </c>
      <c r="C4" s="21" t="s">
        <v>132</v>
      </c>
      <c r="D4" s="21" t="n">
        <v>1</v>
      </c>
      <c r="E4" s="21" t="s">
        <v>133</v>
      </c>
    </row>
    <row r="5" customFormat="false" ht="42" hidden="false" customHeight="true" outlineLevel="0" collapsed="false">
      <c r="A5" s="22" t="s">
        <v>134</v>
      </c>
      <c r="B5" s="22" t="s">
        <v>135</v>
      </c>
      <c r="C5" s="22" t="s">
        <v>136</v>
      </c>
      <c r="D5" s="22" t="s">
        <v>137</v>
      </c>
      <c r="E5" s="22" t="s">
        <v>138</v>
      </c>
    </row>
    <row r="6" customFormat="false" ht="15" hidden="false" customHeight="false" outlineLevel="0" collapsed="false">
      <c r="A6" s="8"/>
      <c r="B6" s="8"/>
      <c r="C6" s="8"/>
      <c r="D6" s="8"/>
      <c r="E6" s="8"/>
    </row>
    <row r="7" customFormat="false" ht="15" hidden="false" customHeight="false" outlineLevel="0" collapsed="false">
      <c r="A7" s="8"/>
      <c r="B7" s="8"/>
      <c r="C7" s="8"/>
      <c r="D7" s="8"/>
      <c r="E7" s="8"/>
    </row>
    <row r="8" customFormat="false" ht="15" hidden="false" customHeight="false" outlineLevel="0" collapsed="false">
      <c r="A8" s="8"/>
      <c r="B8" s="8"/>
      <c r="C8" s="8"/>
      <c r="D8" s="8"/>
      <c r="E8" s="8"/>
    </row>
    <row r="9" customFormat="false" ht="15" hidden="false" customHeight="false" outlineLevel="0" collapsed="false">
      <c r="A9" s="8"/>
      <c r="B9" s="8"/>
      <c r="C9" s="8"/>
      <c r="D9" s="8"/>
      <c r="E9" s="8"/>
    </row>
    <row r="10" customFormat="false" ht="15" hidden="false" customHeight="false" outlineLevel="0" collapsed="false">
      <c r="A10" s="8"/>
      <c r="B10" s="8"/>
      <c r="C10" s="8"/>
      <c r="D10" s="8"/>
      <c r="E10" s="8"/>
    </row>
    <row r="11" customFormat="false" ht="15" hidden="false" customHeight="false" outlineLevel="0" collapsed="false">
      <c r="A11" s="8"/>
      <c r="B11" s="8"/>
      <c r="C11" s="8"/>
      <c r="D11" s="8"/>
      <c r="E11" s="8"/>
    </row>
    <row r="12" customFormat="false" ht="15" hidden="false" customHeight="false" outlineLevel="0" collapsed="false">
      <c r="A12" s="8"/>
      <c r="B12" s="8"/>
      <c r="C12" s="8"/>
      <c r="D12" s="8"/>
      <c r="E12" s="8"/>
    </row>
    <row r="13" customFormat="false" ht="15" hidden="false" customHeight="false" outlineLevel="0" collapsed="false">
      <c r="A13" s="8"/>
      <c r="B13" s="8"/>
      <c r="C13" s="8"/>
      <c r="D13" s="8"/>
      <c r="E13" s="8"/>
    </row>
    <row r="14" customFormat="false" ht="15" hidden="false" customHeight="false" outlineLevel="0" collapsed="false">
      <c r="A14" s="8"/>
      <c r="B14" s="8"/>
      <c r="C14" s="8"/>
      <c r="D14" s="8"/>
      <c r="E14" s="8"/>
    </row>
    <row r="15" customFormat="false" ht="15" hidden="false" customHeight="false" outlineLevel="0" collapsed="false">
      <c r="A15" s="8"/>
      <c r="B15" s="8"/>
      <c r="C15" s="8"/>
      <c r="D15" s="8"/>
      <c r="E15" s="8"/>
    </row>
    <row r="16" customFormat="false" ht="15" hidden="false" customHeight="false" outlineLevel="0" collapsed="false">
      <c r="A16" s="8"/>
      <c r="B16" s="8"/>
      <c r="C16" s="8"/>
      <c r="D16" s="8"/>
      <c r="E16" s="8"/>
    </row>
    <row r="17" customFormat="false" ht="15" hidden="false" customHeight="false" outlineLevel="0" collapsed="false">
      <c r="A17" s="8"/>
      <c r="B17" s="8"/>
      <c r="C17" s="8"/>
      <c r="D17" s="8"/>
      <c r="E17" s="8"/>
    </row>
    <row r="18" customFormat="false" ht="15" hidden="false" customHeight="false" outlineLevel="0" collapsed="false">
      <c r="A18" s="8"/>
      <c r="B18" s="8"/>
      <c r="C18" s="8"/>
      <c r="D18" s="8"/>
      <c r="E18" s="8"/>
    </row>
    <row r="19" customFormat="false" ht="15" hidden="false" customHeight="false" outlineLevel="0" collapsed="false">
      <c r="A19" s="8"/>
      <c r="B19" s="8"/>
      <c r="C19" s="8"/>
      <c r="D19" s="8"/>
      <c r="E19" s="8"/>
    </row>
    <row r="20" customFormat="false" ht="15" hidden="false" customHeight="false" outlineLevel="0" collapsed="false">
      <c r="A20" s="8"/>
      <c r="B20" s="8"/>
      <c r="C20" s="8"/>
      <c r="D20" s="8"/>
      <c r="E20" s="8"/>
    </row>
    <row r="21" customFormat="false" ht="15" hidden="false" customHeight="false" outlineLevel="0" collapsed="false">
      <c r="A21" s="8"/>
      <c r="B21" s="8"/>
      <c r="C21" s="8"/>
      <c r="D21" s="8"/>
      <c r="E21" s="8"/>
    </row>
    <row r="22" customFormat="false" ht="15" hidden="false" customHeight="false" outlineLevel="0" collapsed="false">
      <c r="A22" s="8"/>
      <c r="B22" s="8"/>
      <c r="C22" s="8"/>
      <c r="D22" s="8"/>
      <c r="E22" s="8"/>
    </row>
    <row r="23" customFormat="false" ht="15" hidden="false" customHeight="false" outlineLevel="0" collapsed="false">
      <c r="A23" s="8"/>
      <c r="B23" s="8"/>
      <c r="C23" s="8"/>
      <c r="D23" s="8"/>
      <c r="E23" s="8"/>
    </row>
    <row r="24" customFormat="false" ht="15" hidden="false" customHeight="false" outlineLevel="0" collapsed="false">
      <c r="A24" s="8"/>
      <c r="B24" s="8"/>
      <c r="C24" s="8"/>
      <c r="D24" s="8"/>
      <c r="E24" s="8"/>
    </row>
    <row r="25" customFormat="false" ht="15" hidden="false" customHeight="false" outlineLevel="0" collapsed="false">
      <c r="A25" s="8"/>
      <c r="B25" s="8"/>
      <c r="C25" s="8"/>
      <c r="D25" s="8"/>
      <c r="E25" s="8"/>
    </row>
    <row r="26" customFormat="false" ht="15" hidden="false" customHeight="false" outlineLevel="0" collapsed="false">
      <c r="A26" s="8"/>
      <c r="B26" s="8"/>
      <c r="C26" s="8"/>
      <c r="D26" s="8"/>
      <c r="E26" s="8"/>
    </row>
    <row r="27" customFormat="false" ht="15" hidden="false" customHeight="false" outlineLevel="0" collapsed="false">
      <c r="A27" s="8"/>
      <c r="B27" s="8"/>
      <c r="C27" s="8"/>
      <c r="D27" s="8"/>
      <c r="E27" s="8"/>
    </row>
    <row r="28" customFormat="false" ht="15" hidden="false" customHeight="false" outlineLevel="0" collapsed="false">
      <c r="A28" s="8"/>
      <c r="B28" s="8"/>
      <c r="C28" s="8"/>
      <c r="D28" s="8"/>
      <c r="E28" s="8"/>
    </row>
    <row r="29" customFormat="false" ht="15" hidden="false" customHeight="false" outlineLevel="0" collapsed="false">
      <c r="A29" s="8"/>
      <c r="B29" s="8"/>
      <c r="C29" s="8"/>
      <c r="D29" s="8"/>
      <c r="E29" s="8"/>
    </row>
    <row r="30" customFormat="false" ht="15" hidden="false" customHeight="false" outlineLevel="0" collapsed="false">
      <c r="A30" s="8"/>
      <c r="B30" s="8"/>
      <c r="C30" s="8"/>
      <c r="D30" s="8"/>
      <c r="E30" s="8"/>
    </row>
    <row r="31" customFormat="false" ht="15" hidden="false" customHeight="false" outlineLevel="0" collapsed="false">
      <c r="A31" s="8"/>
      <c r="B31" s="8"/>
      <c r="C31" s="8"/>
      <c r="D31" s="8"/>
      <c r="E31" s="8"/>
    </row>
    <row r="32" customFormat="false" ht="15" hidden="false" customHeight="false" outlineLevel="0" collapsed="false">
      <c r="A32" s="8"/>
      <c r="B32" s="8"/>
      <c r="C32" s="8"/>
      <c r="D32" s="8"/>
      <c r="E32" s="8"/>
    </row>
    <row r="33" customFormat="false" ht="15" hidden="false" customHeight="false" outlineLevel="0" collapsed="false">
      <c r="A33" s="8"/>
      <c r="B33" s="8"/>
      <c r="C33" s="8"/>
      <c r="D33" s="8"/>
      <c r="E33" s="8"/>
    </row>
    <row r="34" customFormat="false" ht="15" hidden="false" customHeight="false" outlineLevel="0" collapsed="false">
      <c r="A34" s="8"/>
      <c r="B34" s="8"/>
      <c r="C34" s="8"/>
      <c r="D34" s="8"/>
      <c r="E34" s="8"/>
    </row>
    <row r="35" customFormat="false" ht="15" hidden="false" customHeight="false" outlineLevel="0" collapsed="false">
      <c r="A35" s="8"/>
      <c r="B35" s="8"/>
      <c r="C35" s="8"/>
      <c r="D35" s="8"/>
      <c r="E35" s="8"/>
    </row>
    <row r="36" customFormat="false" ht="15" hidden="false" customHeight="false" outlineLevel="0" collapsed="false">
      <c r="A36" s="8"/>
      <c r="B36" s="8"/>
      <c r="C36" s="8"/>
      <c r="D36" s="8"/>
      <c r="E36" s="8"/>
    </row>
    <row r="37" customFormat="false" ht="15" hidden="false" customHeight="false" outlineLevel="0" collapsed="false">
      <c r="A37" s="8"/>
      <c r="B37" s="8"/>
      <c r="C37" s="8"/>
      <c r="D37" s="8"/>
      <c r="E37" s="8"/>
    </row>
    <row r="38" customFormat="false" ht="15" hidden="false" customHeight="false" outlineLevel="0" collapsed="false">
      <c r="A38" s="8"/>
      <c r="B38" s="8"/>
      <c r="C38" s="8"/>
      <c r="D38" s="8"/>
      <c r="E38" s="8"/>
    </row>
    <row r="39" customFormat="false" ht="15" hidden="false" customHeight="false" outlineLevel="0" collapsed="false">
      <c r="A39" s="8"/>
      <c r="B39" s="8"/>
      <c r="C39" s="8"/>
      <c r="D39" s="8"/>
      <c r="E39" s="8"/>
    </row>
    <row r="40" customFormat="false" ht="15" hidden="false" customHeight="false" outlineLevel="0" collapsed="false">
      <c r="A40" s="8"/>
      <c r="B40" s="8"/>
      <c r="C40" s="8"/>
      <c r="D40" s="8"/>
      <c r="E40" s="8"/>
    </row>
    <row r="41" customFormat="false" ht="15" hidden="false" customHeight="false" outlineLevel="0" collapsed="false">
      <c r="A41" s="8"/>
      <c r="B41" s="8"/>
      <c r="C41" s="8"/>
      <c r="D41" s="8"/>
      <c r="E41" s="8"/>
    </row>
    <row r="42" customFormat="false" ht="15" hidden="false" customHeight="false" outlineLevel="0" collapsed="false">
      <c r="A42" s="8"/>
      <c r="B42" s="8"/>
      <c r="C42" s="8"/>
      <c r="D42" s="8"/>
      <c r="E42" s="8"/>
    </row>
    <row r="43" customFormat="false" ht="15" hidden="false" customHeight="false" outlineLevel="0" collapsed="false">
      <c r="A43" s="8"/>
      <c r="B43" s="8"/>
      <c r="C43" s="8"/>
      <c r="D43" s="8"/>
      <c r="E43" s="8"/>
    </row>
    <row r="44" customFormat="false" ht="15" hidden="false" customHeight="false" outlineLevel="0" collapsed="false">
      <c r="A44" s="8"/>
      <c r="B44" s="8"/>
      <c r="C44" s="8"/>
      <c r="D44" s="8"/>
      <c r="E44" s="8"/>
    </row>
    <row r="45" customFormat="false" ht="15" hidden="false" customHeight="false" outlineLevel="0" collapsed="false">
      <c r="A45" s="8"/>
      <c r="B45" s="8"/>
      <c r="C45" s="8"/>
      <c r="D45" s="8"/>
      <c r="E45" s="8"/>
    </row>
    <row r="46" customFormat="false" ht="15" hidden="false" customHeight="false" outlineLevel="0" collapsed="false">
      <c r="A46" s="8"/>
      <c r="B46" s="8"/>
      <c r="C46" s="8"/>
      <c r="D46" s="8"/>
      <c r="E46" s="8"/>
    </row>
    <row r="47" customFormat="false" ht="15" hidden="false" customHeight="false" outlineLevel="0" collapsed="false">
      <c r="A47" s="8"/>
      <c r="B47" s="8"/>
      <c r="C47" s="8"/>
      <c r="D47" s="8"/>
      <c r="E47" s="8"/>
    </row>
    <row r="48" customFormat="false" ht="15" hidden="false" customHeight="false" outlineLevel="0" collapsed="false">
      <c r="A48" s="8"/>
      <c r="B48" s="8"/>
      <c r="C48" s="8"/>
      <c r="D48" s="8"/>
      <c r="E48" s="8"/>
    </row>
    <row r="49" customFormat="false" ht="15" hidden="false" customHeight="false" outlineLevel="0" collapsed="false">
      <c r="A49" s="8"/>
      <c r="B49" s="8"/>
      <c r="C49" s="8"/>
      <c r="D49" s="8"/>
      <c r="E49" s="8"/>
    </row>
    <row r="50" customFormat="false" ht="15" hidden="false" customHeight="false" outlineLevel="0" collapsed="false">
      <c r="A50" s="8"/>
      <c r="B50" s="8"/>
      <c r="C50" s="8"/>
      <c r="D50" s="8"/>
      <c r="E50" s="8"/>
    </row>
    <row r="51" customFormat="false" ht="15" hidden="false" customHeight="false" outlineLevel="0" collapsed="false">
      <c r="A51" s="8"/>
      <c r="B51" s="8"/>
      <c r="C51" s="8"/>
      <c r="D51" s="8"/>
      <c r="E51" s="8"/>
    </row>
    <row r="52" customFormat="false" ht="15" hidden="false" customHeight="false" outlineLevel="0" collapsed="false">
      <c r="A52" s="8"/>
      <c r="B52" s="8"/>
      <c r="C52" s="8"/>
      <c r="D52" s="8"/>
      <c r="E52" s="8"/>
    </row>
    <row r="53" customFormat="false" ht="15" hidden="false" customHeight="false" outlineLevel="0" collapsed="false">
      <c r="A53" s="8"/>
      <c r="B53" s="8"/>
      <c r="C53" s="8"/>
      <c r="D53" s="8"/>
      <c r="E53" s="8"/>
    </row>
    <row r="54" customFormat="false" ht="15" hidden="false" customHeight="false" outlineLevel="0" collapsed="false">
      <c r="A54" s="8"/>
      <c r="B54" s="8"/>
      <c r="C54" s="8"/>
      <c r="D54" s="8"/>
      <c r="E54" s="8"/>
    </row>
    <row r="55" customFormat="false" ht="15" hidden="false" customHeight="false" outlineLevel="0" collapsed="false">
      <c r="A55" s="8"/>
      <c r="B55" s="8"/>
      <c r="C55" s="8"/>
      <c r="D55" s="8"/>
      <c r="E55" s="8"/>
    </row>
    <row r="56" customFormat="false" ht="15" hidden="false" customHeight="false" outlineLevel="0" collapsed="false">
      <c r="A56" s="8"/>
      <c r="B56" s="8"/>
      <c r="C56" s="8"/>
      <c r="D56" s="8"/>
      <c r="E56" s="8"/>
    </row>
    <row r="57" customFormat="false" ht="15" hidden="false" customHeight="false" outlineLevel="0" collapsed="false">
      <c r="A57" s="8"/>
      <c r="B57" s="8"/>
      <c r="C57" s="8"/>
      <c r="D57" s="8"/>
      <c r="E57" s="8"/>
    </row>
    <row r="58" customFormat="false" ht="15" hidden="false" customHeight="false" outlineLevel="0" collapsed="false">
      <c r="A58" s="8"/>
      <c r="B58" s="8"/>
      <c r="C58" s="8"/>
      <c r="D58" s="8"/>
      <c r="E58" s="8"/>
    </row>
    <row r="59" customFormat="false" ht="15" hidden="false" customHeight="false" outlineLevel="0" collapsed="false">
      <c r="A59" s="8"/>
      <c r="B59" s="8"/>
      <c r="C59" s="8"/>
      <c r="D59" s="8"/>
      <c r="E59" s="8"/>
    </row>
    <row r="60" customFormat="false" ht="15" hidden="false" customHeight="false" outlineLevel="0" collapsed="false">
      <c r="A60" s="8"/>
      <c r="B60" s="8"/>
      <c r="C60" s="8"/>
      <c r="D60" s="8"/>
      <c r="E60" s="8"/>
    </row>
    <row r="61" customFormat="false" ht="15" hidden="false" customHeight="false" outlineLevel="0" collapsed="false">
      <c r="A61" s="8"/>
      <c r="B61" s="8"/>
      <c r="C61" s="8"/>
      <c r="D61" s="8"/>
      <c r="E61" s="8"/>
    </row>
    <row r="62" customFormat="false" ht="15" hidden="false" customHeight="false" outlineLevel="0" collapsed="false">
      <c r="A62" s="8"/>
      <c r="B62" s="8"/>
      <c r="C62" s="8"/>
      <c r="D62" s="8"/>
      <c r="E62" s="8"/>
    </row>
    <row r="63" customFormat="false" ht="15" hidden="false" customHeight="false" outlineLevel="0" collapsed="false">
      <c r="A63" s="8"/>
      <c r="B63" s="8"/>
      <c r="C63" s="8"/>
      <c r="D63" s="8"/>
      <c r="E63" s="8"/>
    </row>
    <row r="64" customFormat="false" ht="15" hidden="false" customHeight="false" outlineLevel="0" collapsed="false">
      <c r="A64" s="8"/>
      <c r="B64" s="8"/>
      <c r="C64" s="8"/>
      <c r="D64" s="8"/>
      <c r="E64" s="8"/>
    </row>
    <row r="65" customFormat="false" ht="15" hidden="false" customHeight="false" outlineLevel="0" collapsed="false">
      <c r="A65" s="8"/>
      <c r="B65" s="8"/>
      <c r="C65" s="8"/>
      <c r="D65" s="8"/>
      <c r="E65" s="8"/>
    </row>
    <row r="66" customFormat="false" ht="15" hidden="false" customHeight="false" outlineLevel="0" collapsed="false">
      <c r="A66" s="8"/>
      <c r="B66" s="8"/>
      <c r="C66" s="8"/>
      <c r="D66" s="8"/>
      <c r="E66" s="8"/>
    </row>
    <row r="67" customFormat="false" ht="15" hidden="false" customHeight="false" outlineLevel="0" collapsed="false">
      <c r="A67" s="8"/>
      <c r="B67" s="8"/>
      <c r="C67" s="8"/>
      <c r="D67" s="8"/>
      <c r="E67" s="8"/>
    </row>
    <row r="68" customFormat="false" ht="15" hidden="false" customHeight="false" outlineLevel="0" collapsed="false">
      <c r="A68" s="8"/>
      <c r="B68" s="8"/>
      <c r="C68" s="8"/>
      <c r="D68" s="8"/>
      <c r="E68" s="8"/>
    </row>
    <row r="69" customFormat="false" ht="15" hidden="false" customHeight="false" outlineLevel="0" collapsed="false">
      <c r="A69" s="8"/>
      <c r="B69" s="8"/>
      <c r="C69" s="8"/>
      <c r="D69" s="8"/>
      <c r="E69" s="8"/>
    </row>
    <row r="70" customFormat="false" ht="15" hidden="false" customHeight="false" outlineLevel="0" collapsed="false">
      <c r="A70" s="8"/>
      <c r="B70" s="8"/>
      <c r="C70" s="8"/>
      <c r="D70" s="8"/>
      <c r="E70" s="8"/>
    </row>
    <row r="71" customFormat="false" ht="15" hidden="false" customHeight="false" outlineLevel="0" collapsed="false">
      <c r="A71" s="8"/>
      <c r="B71" s="8"/>
      <c r="C71" s="8"/>
      <c r="D71" s="8"/>
      <c r="E71" s="8"/>
    </row>
    <row r="72" customFormat="false" ht="15" hidden="false" customHeight="false" outlineLevel="0" collapsed="false">
      <c r="A72" s="8"/>
      <c r="B72" s="8"/>
      <c r="C72" s="8"/>
      <c r="D72" s="8"/>
      <c r="E72" s="8"/>
    </row>
    <row r="73" customFormat="false" ht="15" hidden="false" customHeight="false" outlineLevel="0" collapsed="false">
      <c r="A73" s="8"/>
      <c r="B73" s="8"/>
      <c r="C73" s="8"/>
      <c r="D73" s="8"/>
      <c r="E73" s="8"/>
    </row>
    <row r="74" customFormat="false" ht="15" hidden="false" customHeight="false" outlineLevel="0" collapsed="false">
      <c r="A74" s="8"/>
      <c r="B74" s="8"/>
      <c r="C74" s="8"/>
      <c r="D74" s="8"/>
      <c r="E74" s="8"/>
    </row>
    <row r="75" customFormat="false" ht="15" hidden="false" customHeight="false" outlineLevel="0" collapsed="false">
      <c r="A75" s="8"/>
      <c r="B75" s="8"/>
      <c r="C75" s="8"/>
      <c r="D75" s="8"/>
      <c r="E75" s="8"/>
    </row>
    <row r="76" customFormat="false" ht="15" hidden="false" customHeight="false" outlineLevel="0" collapsed="false">
      <c r="A76" s="8"/>
      <c r="B76" s="8"/>
      <c r="C76" s="8"/>
      <c r="D76" s="8"/>
      <c r="E76" s="8"/>
    </row>
    <row r="77" customFormat="false" ht="15" hidden="false" customHeight="false" outlineLevel="0" collapsed="false">
      <c r="A77" s="8"/>
      <c r="B77" s="8"/>
      <c r="C77" s="8"/>
      <c r="D77" s="8"/>
      <c r="E77" s="8"/>
    </row>
    <row r="78" customFormat="false" ht="15" hidden="false" customHeight="false" outlineLevel="0" collapsed="false">
      <c r="A78" s="8"/>
      <c r="B78" s="8"/>
      <c r="C78" s="8"/>
      <c r="D78" s="8"/>
      <c r="E78" s="8"/>
    </row>
    <row r="79" customFormat="false" ht="15" hidden="false" customHeight="false" outlineLevel="0" collapsed="false">
      <c r="A79" s="8"/>
      <c r="B79" s="8"/>
      <c r="C79" s="8"/>
      <c r="D79" s="8"/>
      <c r="E79" s="8"/>
    </row>
    <row r="80" customFormat="false" ht="15" hidden="false" customHeight="false" outlineLevel="0" collapsed="false">
      <c r="A80" s="8"/>
      <c r="B80" s="8"/>
      <c r="C80" s="8"/>
      <c r="D80" s="8"/>
      <c r="E80" s="8"/>
    </row>
    <row r="81" customFormat="false" ht="15" hidden="false" customHeight="false" outlineLevel="0" collapsed="false">
      <c r="A81" s="8"/>
      <c r="B81" s="8"/>
      <c r="C81" s="8"/>
      <c r="D81" s="8"/>
      <c r="E81" s="8"/>
    </row>
    <row r="82" customFormat="false" ht="15" hidden="false" customHeight="false" outlineLevel="0" collapsed="false">
      <c r="A82" s="8"/>
      <c r="B82" s="8"/>
      <c r="C82" s="8"/>
      <c r="D82" s="8"/>
      <c r="E82" s="8"/>
    </row>
    <row r="83" customFormat="false" ht="15" hidden="false" customHeight="false" outlineLevel="0" collapsed="false">
      <c r="A83" s="8"/>
      <c r="B83" s="8"/>
      <c r="C83" s="8"/>
      <c r="D83" s="8"/>
      <c r="E83" s="8"/>
    </row>
    <row r="84" customFormat="false" ht="15" hidden="false" customHeight="false" outlineLevel="0" collapsed="false">
      <c r="A84" s="8"/>
      <c r="B84" s="8"/>
      <c r="C84" s="8"/>
      <c r="D84" s="8"/>
      <c r="E84" s="8"/>
    </row>
    <row r="85" customFormat="false" ht="15" hidden="false" customHeight="false" outlineLevel="0" collapsed="false">
      <c r="A85" s="8"/>
      <c r="B85" s="8"/>
      <c r="C85" s="8"/>
      <c r="D85" s="8"/>
      <c r="E85" s="8"/>
    </row>
    <row r="86" customFormat="false" ht="15" hidden="false" customHeight="false" outlineLevel="0" collapsed="false">
      <c r="A86" s="8"/>
      <c r="B86" s="8"/>
      <c r="C86" s="8"/>
      <c r="D86" s="8"/>
      <c r="E86" s="8"/>
    </row>
    <row r="87" customFormat="false" ht="15" hidden="false" customHeight="false" outlineLevel="0" collapsed="false">
      <c r="A87" s="8"/>
      <c r="B87" s="8"/>
      <c r="C87" s="8"/>
      <c r="D87" s="8"/>
      <c r="E87" s="8"/>
    </row>
    <row r="88" customFormat="false" ht="15" hidden="false" customHeight="false" outlineLevel="0" collapsed="false">
      <c r="A88" s="8"/>
      <c r="B88" s="8"/>
      <c r="C88" s="8"/>
      <c r="D88" s="8"/>
      <c r="E88" s="8"/>
    </row>
    <row r="89" customFormat="false" ht="15" hidden="false" customHeight="false" outlineLevel="0" collapsed="false">
      <c r="A89" s="8"/>
      <c r="B89" s="8"/>
      <c r="C89" s="8"/>
      <c r="D89" s="8"/>
      <c r="E89" s="8"/>
    </row>
    <row r="90" customFormat="false" ht="15" hidden="false" customHeight="false" outlineLevel="0" collapsed="false">
      <c r="A90" s="8"/>
      <c r="B90" s="8"/>
      <c r="C90" s="8"/>
      <c r="D90" s="8"/>
      <c r="E90" s="8"/>
    </row>
    <row r="91" customFormat="false" ht="15" hidden="false" customHeight="false" outlineLevel="0" collapsed="false">
      <c r="A91" s="8"/>
      <c r="B91" s="8"/>
      <c r="C91" s="8"/>
      <c r="D91" s="8"/>
      <c r="E91" s="8"/>
    </row>
    <row r="92" customFormat="false" ht="15" hidden="false" customHeight="false" outlineLevel="0" collapsed="false">
      <c r="A92" s="8"/>
      <c r="B92" s="8"/>
      <c r="C92" s="8"/>
      <c r="D92" s="8"/>
      <c r="E92" s="8"/>
    </row>
    <row r="93" customFormat="false" ht="15" hidden="false" customHeight="false" outlineLevel="0" collapsed="false">
      <c r="A93" s="8"/>
      <c r="B93" s="8"/>
      <c r="C93" s="8"/>
      <c r="D93" s="8"/>
      <c r="E93" s="8"/>
    </row>
    <row r="94" customFormat="false" ht="15" hidden="false" customHeight="false" outlineLevel="0" collapsed="false">
      <c r="A94" s="8"/>
      <c r="B94" s="8"/>
      <c r="C94" s="8"/>
      <c r="D94" s="8"/>
      <c r="E94" s="8"/>
    </row>
    <row r="95" customFormat="false" ht="15" hidden="false" customHeight="false" outlineLevel="0" collapsed="false">
      <c r="A95" s="8"/>
      <c r="B95" s="8"/>
      <c r="C95" s="8"/>
      <c r="D95" s="8"/>
      <c r="E95" s="8"/>
    </row>
    <row r="96" customFormat="false" ht="15" hidden="false" customHeight="false" outlineLevel="0" collapsed="false">
      <c r="A96" s="8"/>
      <c r="B96" s="8"/>
      <c r="C96" s="8"/>
      <c r="D96" s="8"/>
      <c r="E96" s="8"/>
    </row>
    <row r="97" customFormat="false" ht="15" hidden="false" customHeight="false" outlineLevel="0" collapsed="false">
      <c r="A97" s="8"/>
      <c r="B97" s="8"/>
      <c r="C97" s="8"/>
      <c r="D97" s="8"/>
      <c r="E97" s="8"/>
    </row>
    <row r="98" customFormat="false" ht="15" hidden="false" customHeight="false" outlineLevel="0" collapsed="false">
      <c r="A98" s="8"/>
      <c r="B98" s="8"/>
      <c r="C98" s="8"/>
      <c r="D98" s="8"/>
      <c r="E98" s="8"/>
    </row>
    <row r="99" customFormat="false" ht="15" hidden="false" customHeight="false" outlineLevel="0" collapsed="false">
      <c r="A99" s="8"/>
      <c r="B99" s="8"/>
      <c r="C99" s="8"/>
      <c r="D99" s="8"/>
      <c r="E99" s="8"/>
    </row>
    <row r="100" customFormat="false" ht="15" hidden="false" customHeight="false" outlineLevel="0" collapsed="false">
      <c r="A100" s="8"/>
      <c r="B100" s="8"/>
      <c r="C100" s="8"/>
      <c r="D100" s="8"/>
      <c r="E100" s="8"/>
    </row>
    <row r="101" customFormat="false" ht="15" hidden="false" customHeight="false" outlineLevel="0" collapsed="false">
      <c r="A101" s="8"/>
      <c r="B101" s="8"/>
      <c r="C101" s="8"/>
      <c r="D101" s="8"/>
      <c r="E101" s="8"/>
    </row>
    <row r="102" customFormat="false" ht="15" hidden="false" customHeight="false" outlineLevel="0" collapsed="false">
      <c r="A102" s="8"/>
      <c r="B102" s="8"/>
      <c r="C102" s="8"/>
      <c r="D102" s="8"/>
      <c r="E102" s="8"/>
    </row>
    <row r="103" customFormat="false" ht="15" hidden="false" customHeight="false" outlineLevel="0" collapsed="false">
      <c r="A103" s="8"/>
      <c r="B103" s="8"/>
      <c r="C103" s="8"/>
      <c r="D103" s="8"/>
      <c r="E103" s="8"/>
    </row>
    <row r="104" customFormat="false" ht="15" hidden="false" customHeight="false" outlineLevel="0" collapsed="false">
      <c r="A104" s="8"/>
      <c r="B104" s="8"/>
      <c r="C104" s="8"/>
      <c r="D104" s="8"/>
      <c r="E104" s="8"/>
    </row>
    <row r="105" customFormat="false" ht="15" hidden="false" customHeight="false" outlineLevel="0" collapsed="false">
      <c r="A105" s="8"/>
      <c r="B105" s="8"/>
      <c r="C105" s="8"/>
      <c r="D105" s="8"/>
      <c r="E105" s="8"/>
    </row>
    <row r="106" customFormat="false" ht="15" hidden="false" customHeight="false" outlineLevel="0" collapsed="false">
      <c r="A106" s="8"/>
      <c r="B106" s="8"/>
      <c r="C106" s="8"/>
      <c r="D106" s="8"/>
      <c r="E106" s="8"/>
    </row>
    <row r="107" customFormat="false" ht="15" hidden="false" customHeight="false" outlineLevel="0" collapsed="false">
      <c r="A107" s="8"/>
      <c r="B107" s="8"/>
      <c r="C107" s="8"/>
      <c r="D107" s="8"/>
      <c r="E107" s="8"/>
    </row>
    <row r="108" customFormat="false" ht="15" hidden="false" customHeight="false" outlineLevel="0" collapsed="false">
      <c r="A108" s="8"/>
      <c r="B108" s="8"/>
      <c r="C108" s="8"/>
      <c r="D108" s="8"/>
      <c r="E108" s="8"/>
    </row>
    <row r="109" customFormat="false" ht="15" hidden="false" customHeight="false" outlineLevel="0" collapsed="false">
      <c r="A109" s="8"/>
      <c r="B109" s="8"/>
      <c r="C109" s="8"/>
      <c r="D109" s="8"/>
      <c r="E109" s="8"/>
    </row>
    <row r="110" customFormat="false" ht="15" hidden="false" customHeight="false" outlineLevel="0" collapsed="false">
      <c r="A110" s="8"/>
      <c r="B110" s="8"/>
      <c r="C110" s="8"/>
      <c r="D110" s="8"/>
      <c r="E110" s="8"/>
    </row>
    <row r="111" customFormat="false" ht="15" hidden="false" customHeight="false" outlineLevel="0" collapsed="false">
      <c r="A111" s="8"/>
      <c r="B111" s="8"/>
      <c r="C111" s="8"/>
      <c r="D111" s="8"/>
      <c r="E111" s="8"/>
    </row>
    <row r="112" customFormat="false" ht="15" hidden="false" customHeight="false" outlineLevel="0" collapsed="false">
      <c r="A112" s="8"/>
      <c r="B112" s="8"/>
      <c r="C112" s="8"/>
      <c r="D112" s="8"/>
      <c r="E112" s="8"/>
    </row>
    <row r="113" customFormat="false" ht="15" hidden="false" customHeight="false" outlineLevel="0" collapsed="false">
      <c r="A113" s="8"/>
      <c r="B113" s="8"/>
      <c r="C113" s="8"/>
      <c r="D113" s="8"/>
      <c r="E113" s="8"/>
    </row>
    <row r="114" customFormat="false" ht="15" hidden="false" customHeight="false" outlineLevel="0" collapsed="false">
      <c r="A114" s="8"/>
      <c r="B114" s="8"/>
      <c r="C114" s="8"/>
      <c r="D114" s="8"/>
      <c r="E114" s="8"/>
    </row>
    <row r="115" customFormat="false" ht="15" hidden="false" customHeight="false" outlineLevel="0" collapsed="false">
      <c r="A115" s="8"/>
      <c r="B115" s="8"/>
      <c r="C115" s="8"/>
      <c r="D115" s="8"/>
      <c r="E115" s="8"/>
    </row>
    <row r="116" customFormat="false" ht="15" hidden="false" customHeight="false" outlineLevel="0" collapsed="false">
      <c r="A116" s="8"/>
      <c r="B116" s="8"/>
      <c r="C116" s="8"/>
      <c r="D116" s="8"/>
      <c r="E116" s="8"/>
    </row>
    <row r="117" customFormat="false" ht="15" hidden="false" customHeight="false" outlineLevel="0" collapsed="false">
      <c r="A117" s="8"/>
      <c r="B117" s="8"/>
      <c r="C117" s="8"/>
      <c r="D117" s="8"/>
      <c r="E117" s="8"/>
    </row>
    <row r="118" customFormat="false" ht="15" hidden="false" customHeight="false" outlineLevel="0" collapsed="false">
      <c r="A118" s="8"/>
      <c r="B118" s="8"/>
      <c r="C118" s="8"/>
      <c r="D118" s="8"/>
      <c r="E118" s="8"/>
    </row>
    <row r="119" customFormat="false" ht="15" hidden="false" customHeight="false" outlineLevel="0" collapsed="false">
      <c r="A119" s="8"/>
      <c r="B119" s="8"/>
      <c r="C119" s="8"/>
      <c r="D119" s="8"/>
      <c r="E119" s="8"/>
    </row>
    <row r="120" customFormat="false" ht="15" hidden="false" customHeight="false" outlineLevel="0" collapsed="false">
      <c r="A120" s="8"/>
      <c r="B120" s="8"/>
      <c r="C120" s="8"/>
      <c r="D120" s="8"/>
      <c r="E120" s="8"/>
    </row>
    <row r="121" customFormat="false" ht="15" hidden="false" customHeight="false" outlineLevel="0" collapsed="false">
      <c r="A121" s="8"/>
      <c r="B121" s="8"/>
      <c r="C121" s="8"/>
      <c r="D121" s="8"/>
      <c r="E121" s="8"/>
    </row>
    <row r="122" customFormat="false" ht="15" hidden="false" customHeight="false" outlineLevel="0" collapsed="false">
      <c r="A122" s="8"/>
      <c r="B122" s="8"/>
      <c r="C122" s="8"/>
      <c r="D122" s="8"/>
      <c r="E122" s="8"/>
    </row>
    <row r="123" customFormat="false" ht="15" hidden="false" customHeight="false" outlineLevel="0" collapsed="false">
      <c r="A123" s="8"/>
      <c r="B123" s="8"/>
      <c r="C123" s="8"/>
      <c r="D123" s="8"/>
      <c r="E123" s="8"/>
    </row>
    <row r="124" customFormat="false" ht="15" hidden="false" customHeight="false" outlineLevel="0" collapsed="false">
      <c r="A124" s="8"/>
      <c r="B124" s="8"/>
      <c r="C124" s="8"/>
      <c r="D124" s="8"/>
      <c r="E124" s="8"/>
    </row>
    <row r="125" customFormat="false" ht="15" hidden="false" customHeight="false" outlineLevel="0" collapsed="false">
      <c r="A125" s="8"/>
      <c r="B125" s="8"/>
      <c r="C125" s="8"/>
      <c r="D125" s="8"/>
      <c r="E125" s="8"/>
    </row>
    <row r="126" customFormat="false" ht="15" hidden="false" customHeight="false" outlineLevel="0" collapsed="false">
      <c r="A126" s="8"/>
      <c r="B126" s="8"/>
      <c r="C126" s="8"/>
      <c r="D126" s="8"/>
      <c r="E126" s="8"/>
    </row>
    <row r="127" customFormat="false" ht="15" hidden="false" customHeight="false" outlineLevel="0" collapsed="false">
      <c r="A127" s="8"/>
      <c r="B127" s="8"/>
      <c r="C127" s="8"/>
      <c r="D127" s="8"/>
      <c r="E127" s="8"/>
    </row>
    <row r="128" customFormat="false" ht="15" hidden="false" customHeight="false" outlineLevel="0" collapsed="false">
      <c r="A128" s="8"/>
      <c r="B128" s="8"/>
      <c r="C128" s="8"/>
      <c r="D128" s="8"/>
      <c r="E128" s="8"/>
    </row>
    <row r="129" customFormat="false" ht="15" hidden="false" customHeight="false" outlineLevel="0" collapsed="false">
      <c r="A129" s="8"/>
      <c r="B129" s="8"/>
      <c r="C129" s="8"/>
      <c r="D129" s="8"/>
      <c r="E129" s="8"/>
    </row>
    <row r="130" customFormat="false" ht="15" hidden="false" customHeight="false" outlineLevel="0" collapsed="false">
      <c r="A130" s="8"/>
      <c r="B130" s="8"/>
      <c r="C130" s="8"/>
      <c r="D130" s="8"/>
      <c r="E130" s="8"/>
    </row>
    <row r="131" customFormat="false" ht="15" hidden="false" customHeight="false" outlineLevel="0" collapsed="false">
      <c r="A131" s="8"/>
      <c r="B131" s="8"/>
      <c r="C131" s="8"/>
      <c r="D131" s="8"/>
      <c r="E131" s="8"/>
    </row>
    <row r="132" customFormat="false" ht="15" hidden="false" customHeight="false" outlineLevel="0" collapsed="false">
      <c r="A132" s="8"/>
      <c r="B132" s="8"/>
      <c r="C132" s="8"/>
      <c r="D132" s="8"/>
      <c r="E132" s="8"/>
    </row>
    <row r="133" customFormat="false" ht="15" hidden="false" customHeight="false" outlineLevel="0" collapsed="false">
      <c r="A133" s="8"/>
      <c r="B133" s="8"/>
      <c r="C133" s="8"/>
      <c r="D133" s="8"/>
      <c r="E133" s="8"/>
    </row>
    <row r="134" customFormat="false" ht="15" hidden="false" customHeight="false" outlineLevel="0" collapsed="false">
      <c r="A134" s="8"/>
      <c r="B134" s="8"/>
      <c r="C134" s="8"/>
      <c r="D134" s="8"/>
      <c r="E134" s="8"/>
    </row>
    <row r="135" customFormat="false" ht="15" hidden="false" customHeight="false" outlineLevel="0" collapsed="false">
      <c r="A135" s="8"/>
      <c r="B135" s="8"/>
      <c r="C135" s="8"/>
      <c r="D135" s="8"/>
      <c r="E135" s="8"/>
    </row>
    <row r="136" customFormat="false" ht="15" hidden="false" customHeight="false" outlineLevel="0" collapsed="false">
      <c r="A136" s="8"/>
      <c r="B136" s="8"/>
      <c r="C136" s="8"/>
      <c r="D136" s="8"/>
      <c r="E136" s="8"/>
    </row>
    <row r="137" customFormat="false" ht="15" hidden="false" customHeight="false" outlineLevel="0" collapsed="false">
      <c r="A137" s="8"/>
      <c r="B137" s="8"/>
      <c r="C137" s="8"/>
      <c r="D137" s="8"/>
      <c r="E137" s="8"/>
    </row>
    <row r="138" customFormat="false" ht="15" hidden="false" customHeight="false" outlineLevel="0" collapsed="false">
      <c r="A138" s="8"/>
      <c r="B138" s="8"/>
      <c r="C138" s="8"/>
      <c r="D138" s="8"/>
      <c r="E138" s="8"/>
    </row>
    <row r="139" customFormat="false" ht="15" hidden="false" customHeight="false" outlineLevel="0" collapsed="false">
      <c r="A139" s="8"/>
      <c r="B139" s="8"/>
      <c r="C139" s="8"/>
      <c r="D139" s="8"/>
      <c r="E139" s="8"/>
    </row>
    <row r="140" customFormat="false" ht="15" hidden="false" customHeight="false" outlineLevel="0" collapsed="false">
      <c r="A140" s="8"/>
      <c r="B140" s="8"/>
      <c r="C140" s="8"/>
      <c r="D140" s="8"/>
      <c r="E140" s="8"/>
    </row>
    <row r="141" customFormat="false" ht="15" hidden="false" customHeight="false" outlineLevel="0" collapsed="false">
      <c r="A141" s="8"/>
      <c r="B141" s="8"/>
      <c r="C141" s="8"/>
      <c r="D141" s="8"/>
      <c r="E141" s="8"/>
    </row>
    <row r="142" customFormat="false" ht="15" hidden="false" customHeight="false" outlineLevel="0" collapsed="false">
      <c r="A142" s="8"/>
      <c r="B142" s="8"/>
      <c r="C142" s="8"/>
      <c r="D142" s="8"/>
      <c r="E142" s="8"/>
    </row>
    <row r="143" customFormat="false" ht="15" hidden="false" customHeight="false" outlineLevel="0" collapsed="false">
      <c r="A143" s="8"/>
      <c r="B143" s="8"/>
      <c r="C143" s="8"/>
      <c r="D143" s="8"/>
      <c r="E143" s="8"/>
    </row>
    <row r="144" customFormat="false" ht="15" hidden="false" customHeight="false" outlineLevel="0" collapsed="false">
      <c r="A144" s="8"/>
      <c r="B144" s="8"/>
      <c r="C144" s="8"/>
      <c r="D144" s="8"/>
      <c r="E144" s="8"/>
    </row>
    <row r="145" customFormat="false" ht="15" hidden="false" customHeight="false" outlineLevel="0" collapsed="false">
      <c r="A145" s="8"/>
      <c r="B145" s="8"/>
      <c r="C145" s="8"/>
      <c r="D145" s="8"/>
      <c r="E145" s="8"/>
    </row>
    <row r="146" customFormat="false" ht="15" hidden="false" customHeight="false" outlineLevel="0" collapsed="false">
      <c r="A146" s="8"/>
      <c r="B146" s="8"/>
      <c r="C146" s="8"/>
      <c r="D146" s="8"/>
      <c r="E146" s="8"/>
    </row>
    <row r="147" customFormat="false" ht="15" hidden="false" customHeight="false" outlineLevel="0" collapsed="false">
      <c r="A147" s="8"/>
      <c r="B147" s="8"/>
      <c r="C147" s="8"/>
      <c r="D147" s="8"/>
      <c r="E147" s="8"/>
    </row>
    <row r="148" customFormat="false" ht="15" hidden="false" customHeight="false" outlineLevel="0" collapsed="false">
      <c r="A148" s="8"/>
      <c r="B148" s="8"/>
      <c r="C148" s="8"/>
      <c r="D148" s="8"/>
      <c r="E148" s="8"/>
    </row>
    <row r="149" customFormat="false" ht="15" hidden="false" customHeight="false" outlineLevel="0" collapsed="false">
      <c r="A149" s="8"/>
      <c r="B149" s="8"/>
      <c r="C149" s="8"/>
      <c r="D149" s="8"/>
      <c r="E149" s="8"/>
    </row>
    <row r="150" customFormat="false" ht="15" hidden="false" customHeight="false" outlineLevel="0" collapsed="false">
      <c r="A150" s="8"/>
      <c r="B150" s="8"/>
      <c r="C150" s="8"/>
      <c r="D150" s="8"/>
      <c r="E150" s="8"/>
    </row>
    <row r="151" customFormat="false" ht="15" hidden="false" customHeight="false" outlineLevel="0" collapsed="false">
      <c r="A151" s="8"/>
      <c r="B151" s="8"/>
      <c r="C151" s="8"/>
      <c r="D151" s="8"/>
      <c r="E151" s="8"/>
    </row>
    <row r="152" customFormat="false" ht="15" hidden="false" customHeight="false" outlineLevel="0" collapsed="false">
      <c r="A152" s="8"/>
      <c r="B152" s="8"/>
      <c r="C152" s="8"/>
      <c r="D152" s="8"/>
      <c r="E152" s="8"/>
    </row>
    <row r="153" customFormat="false" ht="15" hidden="false" customHeight="false" outlineLevel="0" collapsed="false">
      <c r="A153" s="8"/>
      <c r="B153" s="8"/>
      <c r="C153" s="8"/>
      <c r="D153" s="8"/>
      <c r="E153" s="8"/>
    </row>
    <row r="154" customFormat="false" ht="15" hidden="false" customHeight="false" outlineLevel="0" collapsed="false">
      <c r="A154" s="8"/>
      <c r="B154" s="8"/>
      <c r="C154" s="8"/>
      <c r="D154" s="8"/>
      <c r="E154" s="8"/>
    </row>
    <row r="155" customFormat="false" ht="15" hidden="false" customHeight="false" outlineLevel="0" collapsed="false">
      <c r="A155" s="8"/>
      <c r="B155" s="8"/>
      <c r="C155" s="8"/>
      <c r="D155" s="8"/>
      <c r="E155" s="8"/>
    </row>
    <row r="156" customFormat="false" ht="15" hidden="false" customHeight="false" outlineLevel="0" collapsed="false">
      <c r="A156" s="8"/>
      <c r="B156" s="8"/>
      <c r="C156" s="8"/>
      <c r="D156" s="8"/>
      <c r="E156" s="8"/>
    </row>
    <row r="157" customFormat="false" ht="15" hidden="false" customHeight="false" outlineLevel="0" collapsed="false">
      <c r="A157" s="8"/>
      <c r="B157" s="8"/>
      <c r="C157" s="8"/>
      <c r="D157" s="8"/>
      <c r="E157" s="8"/>
    </row>
    <row r="158" customFormat="false" ht="15" hidden="false" customHeight="false" outlineLevel="0" collapsed="false">
      <c r="A158" s="8"/>
      <c r="B158" s="8"/>
      <c r="C158" s="8"/>
      <c r="D158" s="8"/>
      <c r="E158" s="8"/>
    </row>
    <row r="159" customFormat="false" ht="15" hidden="false" customHeight="false" outlineLevel="0" collapsed="false">
      <c r="A159" s="8"/>
      <c r="B159" s="8"/>
      <c r="C159" s="8"/>
      <c r="D159" s="8"/>
      <c r="E159" s="8"/>
    </row>
    <row r="160" customFormat="false" ht="15" hidden="false" customHeight="false" outlineLevel="0" collapsed="false">
      <c r="A160" s="8"/>
      <c r="B160" s="8"/>
      <c r="C160" s="8"/>
      <c r="D160" s="8"/>
      <c r="E160" s="8"/>
    </row>
    <row r="161" customFormat="false" ht="15" hidden="false" customHeight="false" outlineLevel="0" collapsed="false">
      <c r="A161" s="8"/>
      <c r="B161" s="8"/>
      <c r="C161" s="8"/>
      <c r="D161" s="8"/>
      <c r="E161" s="8"/>
    </row>
    <row r="162" customFormat="false" ht="15" hidden="false" customHeight="false" outlineLevel="0" collapsed="false">
      <c r="A162" s="8"/>
      <c r="B162" s="8"/>
      <c r="C162" s="8"/>
      <c r="D162" s="8"/>
      <c r="E162" s="8"/>
    </row>
    <row r="163" customFormat="false" ht="15" hidden="false" customHeight="false" outlineLevel="0" collapsed="false">
      <c r="A163" s="8"/>
      <c r="B163" s="8"/>
      <c r="C163" s="8"/>
      <c r="D163" s="8"/>
      <c r="E163" s="8"/>
    </row>
    <row r="164" customFormat="false" ht="15" hidden="false" customHeight="false" outlineLevel="0" collapsed="false">
      <c r="A164" s="8"/>
      <c r="B164" s="8"/>
      <c r="C164" s="8"/>
      <c r="D164" s="8"/>
      <c r="E164" s="8"/>
    </row>
    <row r="165" customFormat="false" ht="15" hidden="false" customHeight="false" outlineLevel="0" collapsed="false">
      <c r="A165" s="8"/>
      <c r="B165" s="8"/>
      <c r="C165" s="8"/>
      <c r="D165" s="8"/>
      <c r="E165" s="8"/>
    </row>
    <row r="166" customFormat="false" ht="15" hidden="false" customHeight="false" outlineLevel="0" collapsed="false">
      <c r="A166" s="8"/>
      <c r="B166" s="8"/>
      <c r="C166" s="8"/>
      <c r="D166" s="8"/>
      <c r="E166" s="8"/>
    </row>
    <row r="167" customFormat="false" ht="15" hidden="false" customHeight="false" outlineLevel="0" collapsed="false">
      <c r="A167" s="8"/>
      <c r="B167" s="8"/>
      <c r="C167" s="8"/>
      <c r="D167" s="8"/>
      <c r="E167" s="8"/>
    </row>
    <row r="168" customFormat="false" ht="15" hidden="false" customHeight="false" outlineLevel="0" collapsed="false">
      <c r="A168" s="8"/>
      <c r="B168" s="8"/>
      <c r="C168" s="8"/>
      <c r="D168" s="8"/>
      <c r="E168" s="8"/>
    </row>
    <row r="169" customFormat="false" ht="15" hidden="false" customHeight="false" outlineLevel="0" collapsed="false">
      <c r="A169" s="8"/>
      <c r="B169" s="8"/>
      <c r="C169" s="8"/>
      <c r="D169" s="8"/>
      <c r="E169" s="8"/>
    </row>
    <row r="170" customFormat="false" ht="15" hidden="false" customHeight="false" outlineLevel="0" collapsed="false">
      <c r="A170" s="8"/>
      <c r="B170" s="8"/>
      <c r="C170" s="8"/>
      <c r="D170" s="8"/>
      <c r="E170" s="8"/>
    </row>
    <row r="171" customFormat="false" ht="15" hidden="false" customHeight="false" outlineLevel="0" collapsed="false">
      <c r="A171" s="8"/>
      <c r="B171" s="8"/>
      <c r="C171" s="8"/>
      <c r="D171" s="8"/>
      <c r="E171" s="8"/>
    </row>
    <row r="172" customFormat="false" ht="15" hidden="false" customHeight="false" outlineLevel="0" collapsed="false">
      <c r="A172" s="8"/>
      <c r="B172" s="8"/>
      <c r="C172" s="8"/>
      <c r="D172" s="8"/>
      <c r="E172" s="8"/>
    </row>
    <row r="173" customFormat="false" ht="15" hidden="false" customHeight="false" outlineLevel="0" collapsed="false">
      <c r="A173" s="8"/>
      <c r="B173" s="8"/>
      <c r="C173" s="8"/>
      <c r="D173" s="8"/>
      <c r="E173" s="8"/>
    </row>
    <row r="174" customFormat="false" ht="15" hidden="false" customHeight="false" outlineLevel="0" collapsed="false">
      <c r="A174" s="8"/>
      <c r="B174" s="8"/>
      <c r="C174" s="8"/>
      <c r="D174" s="8"/>
      <c r="E174" s="8"/>
    </row>
    <row r="175" customFormat="false" ht="15" hidden="false" customHeight="false" outlineLevel="0" collapsed="false">
      <c r="A175" s="8"/>
      <c r="B175" s="8"/>
      <c r="C175" s="8"/>
      <c r="D175" s="8"/>
      <c r="E175" s="8"/>
    </row>
    <row r="176" customFormat="false" ht="15" hidden="false" customHeight="false" outlineLevel="0" collapsed="false">
      <c r="A176" s="8"/>
      <c r="B176" s="8"/>
      <c r="C176" s="8"/>
      <c r="D176" s="8"/>
      <c r="E176" s="8"/>
    </row>
    <row r="177" customFormat="false" ht="15" hidden="false" customHeight="false" outlineLevel="0" collapsed="false">
      <c r="A177" s="8"/>
      <c r="B177" s="8"/>
      <c r="C177" s="8"/>
      <c r="D177" s="8"/>
      <c r="E177" s="8"/>
    </row>
    <row r="178" customFormat="false" ht="15" hidden="false" customHeight="false" outlineLevel="0" collapsed="false">
      <c r="A178" s="8"/>
      <c r="B178" s="8"/>
      <c r="C178" s="8"/>
      <c r="D178" s="8"/>
      <c r="E178" s="8"/>
    </row>
    <row r="179" customFormat="false" ht="15" hidden="false" customHeight="false" outlineLevel="0" collapsed="false">
      <c r="A179" s="8"/>
      <c r="B179" s="8"/>
      <c r="C179" s="8"/>
      <c r="D179" s="8"/>
      <c r="E179" s="8"/>
    </row>
    <row r="180" customFormat="false" ht="15" hidden="false" customHeight="false" outlineLevel="0" collapsed="false">
      <c r="A180" s="8"/>
      <c r="B180" s="8"/>
      <c r="C180" s="8"/>
      <c r="D180" s="8"/>
      <c r="E180" s="8"/>
    </row>
    <row r="181" customFormat="false" ht="15" hidden="false" customHeight="false" outlineLevel="0" collapsed="false">
      <c r="A181" s="8"/>
      <c r="B181" s="8"/>
      <c r="C181" s="8"/>
      <c r="D181" s="8"/>
      <c r="E181" s="8"/>
    </row>
    <row r="182" customFormat="false" ht="15" hidden="false" customHeight="false" outlineLevel="0" collapsed="false">
      <c r="A182" s="8"/>
      <c r="B182" s="8"/>
      <c r="C182" s="8"/>
      <c r="D182" s="8"/>
      <c r="E182" s="8"/>
    </row>
    <row r="183" customFormat="false" ht="15" hidden="false" customHeight="false" outlineLevel="0" collapsed="false">
      <c r="A183" s="8"/>
      <c r="B183" s="8"/>
      <c r="C183" s="8"/>
      <c r="D183" s="8"/>
      <c r="E183" s="8"/>
    </row>
    <row r="184" customFormat="false" ht="15" hidden="false" customHeight="false" outlineLevel="0" collapsed="false">
      <c r="A184" s="8"/>
      <c r="B184" s="8"/>
      <c r="C184" s="8"/>
      <c r="D184" s="8"/>
      <c r="E184" s="8"/>
    </row>
    <row r="185" customFormat="false" ht="15" hidden="false" customHeight="false" outlineLevel="0" collapsed="false">
      <c r="A185" s="8"/>
      <c r="B185" s="8"/>
      <c r="C185" s="8"/>
      <c r="D185" s="8"/>
      <c r="E185" s="8"/>
    </row>
    <row r="186" customFormat="false" ht="15" hidden="false" customHeight="false" outlineLevel="0" collapsed="false">
      <c r="A186" s="8"/>
      <c r="B186" s="8"/>
      <c r="C186" s="8"/>
      <c r="D186" s="8"/>
      <c r="E186" s="8"/>
    </row>
    <row r="187" customFormat="false" ht="15" hidden="false" customHeight="false" outlineLevel="0" collapsed="false">
      <c r="A187" s="8"/>
      <c r="B187" s="8"/>
      <c r="C187" s="8"/>
      <c r="D187" s="8"/>
      <c r="E187" s="8"/>
    </row>
    <row r="188" customFormat="false" ht="15" hidden="false" customHeight="false" outlineLevel="0" collapsed="false">
      <c r="A188" s="8"/>
      <c r="B188" s="8"/>
      <c r="C188" s="8"/>
      <c r="D188" s="8"/>
      <c r="E188" s="8"/>
    </row>
    <row r="189" customFormat="false" ht="15" hidden="false" customHeight="false" outlineLevel="0" collapsed="false">
      <c r="A189" s="8"/>
      <c r="B189" s="8"/>
      <c r="C189" s="8"/>
      <c r="D189" s="8"/>
      <c r="E189" s="8"/>
    </row>
    <row r="190" customFormat="false" ht="15" hidden="false" customHeight="false" outlineLevel="0" collapsed="false">
      <c r="A190" s="8"/>
      <c r="B190" s="8"/>
      <c r="C190" s="8"/>
      <c r="D190" s="8"/>
      <c r="E190" s="8"/>
    </row>
    <row r="191" customFormat="false" ht="15" hidden="false" customHeight="false" outlineLevel="0" collapsed="false">
      <c r="A191" s="8"/>
      <c r="B191" s="8"/>
      <c r="C191" s="8"/>
      <c r="D191" s="8"/>
      <c r="E191" s="8"/>
    </row>
    <row r="192" customFormat="false" ht="15" hidden="false" customHeight="false" outlineLevel="0" collapsed="false">
      <c r="A192" s="8"/>
      <c r="B192" s="8"/>
      <c r="C192" s="8"/>
      <c r="D192" s="8"/>
      <c r="E192" s="8"/>
    </row>
    <row r="193" customFormat="false" ht="15" hidden="false" customHeight="false" outlineLevel="0" collapsed="false">
      <c r="A193" s="8"/>
      <c r="B193" s="8"/>
      <c r="C193" s="8"/>
      <c r="D193" s="8"/>
      <c r="E193" s="8"/>
    </row>
    <row r="194" customFormat="false" ht="15" hidden="false" customHeight="false" outlineLevel="0" collapsed="false">
      <c r="A194" s="8"/>
      <c r="B194" s="8"/>
      <c r="C194" s="8"/>
      <c r="D194" s="8"/>
      <c r="E194" s="8"/>
    </row>
    <row r="195" customFormat="false" ht="15" hidden="false" customHeight="false" outlineLevel="0" collapsed="false">
      <c r="A195" s="8"/>
      <c r="B195" s="8"/>
      <c r="C195" s="8"/>
      <c r="D195" s="8"/>
      <c r="E195" s="8"/>
    </row>
    <row r="196" customFormat="false" ht="15" hidden="false" customHeight="false" outlineLevel="0" collapsed="false">
      <c r="A196" s="8"/>
      <c r="B196" s="8"/>
      <c r="C196" s="8"/>
      <c r="D196" s="8"/>
      <c r="E196" s="8"/>
    </row>
    <row r="197" customFormat="false" ht="15" hidden="false" customHeight="false" outlineLevel="0" collapsed="false">
      <c r="A197" s="8"/>
      <c r="B197" s="8"/>
      <c r="C197" s="8"/>
      <c r="D197" s="8"/>
      <c r="E197" s="8"/>
    </row>
    <row r="198" customFormat="false" ht="15" hidden="false" customHeight="false" outlineLevel="0" collapsed="false">
      <c r="A198" s="8"/>
      <c r="B198" s="8"/>
      <c r="C198" s="8"/>
      <c r="D198" s="8"/>
      <c r="E198" s="8"/>
    </row>
    <row r="199" customFormat="false" ht="15" hidden="false" customHeight="false" outlineLevel="0" collapsed="false">
      <c r="A199" s="8"/>
      <c r="B199" s="8"/>
      <c r="C199" s="8"/>
      <c r="D199" s="8"/>
      <c r="E199" s="8"/>
    </row>
    <row r="200" customFormat="false" ht="15" hidden="false" customHeight="false" outlineLevel="0" collapsed="false">
      <c r="A200" s="8"/>
      <c r="B200" s="8"/>
      <c r="C200" s="8"/>
      <c r="D200" s="8"/>
      <c r="E200" s="8"/>
    </row>
    <row r="201" customFormat="false" ht="15" hidden="false" customHeight="false" outlineLevel="0" collapsed="false">
      <c r="A201" s="8"/>
      <c r="B201" s="8"/>
      <c r="C201" s="8"/>
      <c r="D201" s="8"/>
      <c r="E201" s="8"/>
    </row>
    <row r="202" customFormat="false" ht="15" hidden="false" customHeight="false" outlineLevel="0" collapsed="false">
      <c r="A202" s="8"/>
      <c r="B202" s="8"/>
      <c r="C202" s="8"/>
      <c r="D202" s="8"/>
      <c r="E202" s="8"/>
    </row>
    <row r="203" customFormat="false" ht="15" hidden="false" customHeight="false" outlineLevel="0" collapsed="false">
      <c r="A203" s="8"/>
      <c r="B203" s="8"/>
      <c r="C203" s="8"/>
      <c r="D203" s="8"/>
      <c r="E203" s="8"/>
    </row>
    <row r="204" customFormat="false" ht="15" hidden="false" customHeight="false" outlineLevel="0" collapsed="false">
      <c r="A204" s="8"/>
      <c r="B204" s="8"/>
      <c r="C204" s="8"/>
      <c r="D204" s="8"/>
      <c r="E204" s="8"/>
    </row>
    <row r="205" customFormat="false" ht="15" hidden="false" customHeight="false" outlineLevel="0" collapsed="false">
      <c r="A205" s="8"/>
      <c r="B205" s="8"/>
      <c r="C205" s="8"/>
      <c r="D205" s="8"/>
      <c r="E205" s="8"/>
    </row>
  </sheetData>
  <dataValidations count="2">
    <dataValidation allowBlank="true" errorStyle="stop" operator="between" showDropDown="false" showErrorMessage="false" showInputMessage="false" sqref="B6:B205" type="whole">
      <formula1>1</formula1>
      <formula2>16</formula2>
    </dataValidation>
    <dataValidation allowBlank="true" errorStyle="stop" operator="between" showDropDown="false" showErrorMessage="false" showInputMessage="false" sqref="D6:D205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1"/>
  </cols>
  <sheetData>
    <row r="1" customFormat="false" ht="17.35" hidden="false" customHeight="false" outlineLevel="0" collapsed="false">
      <c r="A1" s="5" t="s">
        <v>139</v>
      </c>
    </row>
    <row r="2" customFormat="false" ht="15" hidden="false" customHeight="false" outlineLevel="0" collapsed="false">
      <c r="A2" s="6" t="s">
        <v>140</v>
      </c>
    </row>
    <row r="3" customFormat="false" ht="15" hidden="false" customHeight="false" outlineLevel="0" collapsed="false">
      <c r="A3" s="20" t="s">
        <v>72</v>
      </c>
    </row>
    <row r="4" customFormat="false" ht="15" hidden="false" customHeight="false" outlineLevel="0" collapsed="false">
      <c r="A4" s="21" t="s">
        <v>73</v>
      </c>
      <c r="B4" s="21" t="n">
        <v>1</v>
      </c>
      <c r="C4" s="21" t="s">
        <v>141</v>
      </c>
    </row>
    <row r="5" customFormat="false" ht="42" hidden="false" customHeight="true" outlineLevel="0" collapsed="false">
      <c r="A5" s="22" t="s">
        <v>134</v>
      </c>
      <c r="B5" s="22" t="s">
        <v>142</v>
      </c>
      <c r="C5" s="22" t="s">
        <v>143</v>
      </c>
    </row>
    <row r="6" customFormat="false" ht="15" hidden="false" customHeight="false" outlineLevel="0" collapsed="false">
      <c r="A6" s="8"/>
      <c r="B6" s="8"/>
      <c r="C6" s="8"/>
    </row>
    <row r="7" customFormat="false" ht="15" hidden="false" customHeight="false" outlineLevel="0" collapsed="false">
      <c r="A7" s="8"/>
      <c r="B7" s="8"/>
      <c r="C7" s="8"/>
    </row>
    <row r="8" customFormat="false" ht="15" hidden="false" customHeight="false" outlineLevel="0" collapsed="false">
      <c r="A8" s="8"/>
      <c r="B8" s="8"/>
      <c r="C8" s="8"/>
    </row>
    <row r="9" customFormat="false" ht="15" hidden="false" customHeight="false" outlineLevel="0" collapsed="false">
      <c r="A9" s="8"/>
      <c r="B9" s="8"/>
      <c r="C9" s="8"/>
    </row>
    <row r="10" customFormat="false" ht="15" hidden="false" customHeight="false" outlineLevel="0" collapsed="false">
      <c r="A10" s="8"/>
      <c r="B10" s="8"/>
      <c r="C10" s="8"/>
    </row>
    <row r="11" customFormat="false" ht="15" hidden="false" customHeight="false" outlineLevel="0" collapsed="false">
      <c r="A11" s="8"/>
      <c r="B11" s="8"/>
      <c r="C11" s="8"/>
    </row>
    <row r="12" customFormat="false" ht="15" hidden="false" customHeight="false" outlineLevel="0" collapsed="false">
      <c r="A12" s="8"/>
      <c r="B12" s="8"/>
      <c r="C12" s="8"/>
    </row>
    <row r="13" customFormat="false" ht="15" hidden="false" customHeight="false" outlineLevel="0" collapsed="false">
      <c r="A13" s="8"/>
      <c r="B13" s="8"/>
      <c r="C13" s="8"/>
    </row>
    <row r="14" customFormat="false" ht="15" hidden="false" customHeight="false" outlineLevel="0" collapsed="false">
      <c r="A14" s="8"/>
      <c r="B14" s="8"/>
      <c r="C14" s="8"/>
    </row>
    <row r="15" customFormat="false" ht="15" hidden="false" customHeight="false" outlineLevel="0" collapsed="false">
      <c r="A15" s="8"/>
      <c r="B15" s="8"/>
      <c r="C15" s="8"/>
    </row>
    <row r="16" customFormat="false" ht="15" hidden="false" customHeight="false" outlineLevel="0" collapsed="false">
      <c r="A16" s="8"/>
      <c r="B16" s="8"/>
      <c r="C16" s="8"/>
    </row>
    <row r="17" customFormat="false" ht="15" hidden="false" customHeight="false" outlineLevel="0" collapsed="false">
      <c r="A17" s="8"/>
      <c r="B17" s="8"/>
      <c r="C17" s="8"/>
    </row>
    <row r="18" customFormat="false" ht="15" hidden="false" customHeight="false" outlineLevel="0" collapsed="false">
      <c r="A18" s="8"/>
      <c r="B18" s="8"/>
      <c r="C18" s="8"/>
    </row>
    <row r="19" customFormat="false" ht="15" hidden="false" customHeight="false" outlineLevel="0" collapsed="false">
      <c r="A19" s="8"/>
      <c r="B19" s="8"/>
      <c r="C19" s="8"/>
    </row>
    <row r="20" customFormat="false" ht="15" hidden="false" customHeight="false" outlineLevel="0" collapsed="false">
      <c r="A20" s="8"/>
      <c r="B20" s="8"/>
      <c r="C20" s="8"/>
    </row>
    <row r="21" customFormat="false" ht="15" hidden="false" customHeight="false" outlineLevel="0" collapsed="false">
      <c r="A21" s="8"/>
      <c r="B21" s="8"/>
      <c r="C21" s="8"/>
    </row>
    <row r="22" customFormat="false" ht="15" hidden="false" customHeight="false" outlineLevel="0" collapsed="false">
      <c r="A22" s="8"/>
      <c r="B22" s="8"/>
      <c r="C22" s="8"/>
    </row>
    <row r="23" customFormat="false" ht="15" hidden="false" customHeight="false" outlineLevel="0" collapsed="false">
      <c r="A23" s="8"/>
      <c r="B23" s="8"/>
      <c r="C23" s="8"/>
    </row>
    <row r="24" customFormat="false" ht="15" hidden="false" customHeight="false" outlineLevel="0" collapsed="false">
      <c r="A24" s="8"/>
      <c r="B24" s="8"/>
      <c r="C24" s="8"/>
    </row>
    <row r="25" customFormat="false" ht="15" hidden="false" customHeight="false" outlineLevel="0" collapsed="false">
      <c r="A25" s="8"/>
      <c r="B25" s="8"/>
      <c r="C25" s="8"/>
    </row>
    <row r="26" customFormat="false" ht="15" hidden="false" customHeight="false" outlineLevel="0" collapsed="false">
      <c r="A26" s="8"/>
      <c r="B26" s="8"/>
      <c r="C26" s="8"/>
    </row>
    <row r="27" customFormat="false" ht="15" hidden="false" customHeight="false" outlineLevel="0" collapsed="false">
      <c r="A27" s="8"/>
      <c r="B27" s="8"/>
      <c r="C27" s="8"/>
    </row>
    <row r="28" customFormat="false" ht="15" hidden="false" customHeight="false" outlineLevel="0" collapsed="false">
      <c r="A28" s="8"/>
      <c r="B28" s="8"/>
      <c r="C28" s="8"/>
    </row>
    <row r="29" customFormat="false" ht="15" hidden="false" customHeight="false" outlineLevel="0" collapsed="false">
      <c r="A29" s="8"/>
      <c r="B29" s="8"/>
      <c r="C29" s="8"/>
    </row>
    <row r="30" customFormat="false" ht="15" hidden="false" customHeight="false" outlineLevel="0" collapsed="false">
      <c r="A30" s="8"/>
      <c r="B30" s="8"/>
      <c r="C30" s="8"/>
    </row>
    <row r="31" customFormat="false" ht="15" hidden="false" customHeight="false" outlineLevel="0" collapsed="false">
      <c r="A31" s="8"/>
      <c r="B31" s="8"/>
      <c r="C31" s="8"/>
    </row>
    <row r="32" customFormat="false" ht="15" hidden="false" customHeight="false" outlineLevel="0" collapsed="false">
      <c r="A32" s="8"/>
      <c r="B32" s="8"/>
      <c r="C32" s="8"/>
    </row>
    <row r="33" customFormat="false" ht="15" hidden="false" customHeight="false" outlineLevel="0" collapsed="false">
      <c r="A33" s="8"/>
      <c r="B33" s="8"/>
      <c r="C33" s="8"/>
    </row>
    <row r="34" customFormat="false" ht="15" hidden="false" customHeight="false" outlineLevel="0" collapsed="false">
      <c r="A34" s="8"/>
      <c r="B34" s="8"/>
      <c r="C34" s="8"/>
    </row>
    <row r="35" customFormat="false" ht="15" hidden="false" customHeight="false" outlineLevel="0" collapsed="false">
      <c r="A35" s="8"/>
      <c r="B35" s="8"/>
      <c r="C35" s="8"/>
    </row>
    <row r="36" customFormat="false" ht="15" hidden="false" customHeight="false" outlineLevel="0" collapsed="false">
      <c r="A36" s="8"/>
      <c r="B36" s="8"/>
      <c r="C36" s="8"/>
    </row>
    <row r="37" customFormat="false" ht="15" hidden="false" customHeight="false" outlineLevel="0" collapsed="false">
      <c r="A37" s="8"/>
      <c r="B37" s="8"/>
      <c r="C37" s="8"/>
    </row>
    <row r="38" customFormat="false" ht="15" hidden="false" customHeight="false" outlineLevel="0" collapsed="false">
      <c r="A38" s="8"/>
      <c r="B38" s="8"/>
      <c r="C38" s="8"/>
    </row>
    <row r="39" customFormat="false" ht="15" hidden="false" customHeight="false" outlineLevel="0" collapsed="false">
      <c r="A39" s="8"/>
      <c r="B39" s="8"/>
      <c r="C39" s="8"/>
    </row>
    <row r="40" customFormat="false" ht="15" hidden="false" customHeight="false" outlineLevel="0" collapsed="false">
      <c r="A40" s="8"/>
      <c r="B40" s="8"/>
      <c r="C40" s="8"/>
    </row>
    <row r="41" customFormat="false" ht="15" hidden="false" customHeight="false" outlineLevel="0" collapsed="false">
      <c r="A41" s="8"/>
      <c r="B41" s="8"/>
      <c r="C41" s="8"/>
    </row>
    <row r="42" customFormat="false" ht="15" hidden="false" customHeight="false" outlineLevel="0" collapsed="false">
      <c r="A42" s="8"/>
      <c r="B42" s="8"/>
      <c r="C42" s="8"/>
    </row>
    <row r="43" customFormat="false" ht="15" hidden="false" customHeight="false" outlineLevel="0" collapsed="false">
      <c r="A43" s="8"/>
      <c r="B43" s="8"/>
      <c r="C43" s="8"/>
    </row>
    <row r="44" customFormat="false" ht="15" hidden="false" customHeight="false" outlineLevel="0" collapsed="false">
      <c r="A44" s="8"/>
      <c r="B44" s="8"/>
      <c r="C44" s="8"/>
    </row>
    <row r="45" customFormat="false" ht="15" hidden="false" customHeight="false" outlineLevel="0" collapsed="false">
      <c r="A45" s="8"/>
      <c r="B45" s="8"/>
      <c r="C45" s="8"/>
    </row>
    <row r="46" customFormat="false" ht="15" hidden="false" customHeight="false" outlineLevel="0" collapsed="false">
      <c r="A46" s="8"/>
      <c r="B46" s="8"/>
      <c r="C46" s="8"/>
    </row>
    <row r="47" customFormat="false" ht="15" hidden="false" customHeight="false" outlineLevel="0" collapsed="false">
      <c r="A47" s="8"/>
      <c r="B47" s="8"/>
      <c r="C47" s="8"/>
    </row>
    <row r="48" customFormat="false" ht="15" hidden="false" customHeight="false" outlineLevel="0" collapsed="false">
      <c r="A48" s="8"/>
      <c r="B48" s="8"/>
      <c r="C48" s="8"/>
    </row>
    <row r="49" customFormat="false" ht="15" hidden="false" customHeight="false" outlineLevel="0" collapsed="false">
      <c r="A49" s="8"/>
      <c r="B49" s="8"/>
      <c r="C49" s="8"/>
    </row>
    <row r="50" customFormat="false" ht="15" hidden="false" customHeight="false" outlineLevel="0" collapsed="false">
      <c r="A50" s="8"/>
      <c r="B50" s="8"/>
      <c r="C50" s="8"/>
    </row>
    <row r="51" customFormat="false" ht="15" hidden="false" customHeight="false" outlineLevel="0" collapsed="false">
      <c r="A51" s="8"/>
      <c r="B51" s="8"/>
      <c r="C51" s="8"/>
    </row>
    <row r="52" customFormat="false" ht="15" hidden="false" customHeight="false" outlineLevel="0" collapsed="false">
      <c r="A52" s="8"/>
      <c r="B52" s="8"/>
      <c r="C52" s="8"/>
    </row>
    <row r="53" customFormat="false" ht="15" hidden="false" customHeight="false" outlineLevel="0" collapsed="false">
      <c r="A53" s="8"/>
      <c r="B53" s="8"/>
      <c r="C53" s="8"/>
    </row>
    <row r="54" customFormat="false" ht="15" hidden="false" customHeight="false" outlineLevel="0" collapsed="false">
      <c r="A54" s="8"/>
      <c r="B54" s="8"/>
      <c r="C54" s="8"/>
    </row>
    <row r="55" customFormat="false" ht="15" hidden="false" customHeight="false" outlineLevel="0" collapsed="false">
      <c r="A55" s="8"/>
      <c r="B55" s="8"/>
      <c r="C55" s="8"/>
    </row>
    <row r="56" customFormat="false" ht="15" hidden="false" customHeight="false" outlineLevel="0" collapsed="false">
      <c r="A56" s="8"/>
      <c r="B56" s="8"/>
      <c r="C56" s="8"/>
    </row>
    <row r="57" customFormat="false" ht="15" hidden="false" customHeight="false" outlineLevel="0" collapsed="false">
      <c r="A57" s="8"/>
      <c r="B57" s="8"/>
      <c r="C57" s="8"/>
    </row>
    <row r="58" customFormat="false" ht="15" hidden="false" customHeight="false" outlineLevel="0" collapsed="false">
      <c r="A58" s="8"/>
      <c r="B58" s="8"/>
      <c r="C58" s="8"/>
    </row>
    <row r="59" customFormat="false" ht="15" hidden="false" customHeight="false" outlineLevel="0" collapsed="false">
      <c r="A59" s="8"/>
      <c r="B59" s="8"/>
      <c r="C59" s="8"/>
    </row>
    <row r="60" customFormat="false" ht="15" hidden="false" customHeight="false" outlineLevel="0" collapsed="false">
      <c r="A60" s="8"/>
      <c r="B60" s="8"/>
      <c r="C60" s="8"/>
    </row>
    <row r="61" customFormat="false" ht="15" hidden="false" customHeight="false" outlineLevel="0" collapsed="false">
      <c r="A61" s="8"/>
      <c r="B61" s="8"/>
      <c r="C61" s="8"/>
    </row>
    <row r="62" customFormat="false" ht="15" hidden="false" customHeight="false" outlineLevel="0" collapsed="false">
      <c r="A62" s="8"/>
      <c r="B62" s="8"/>
      <c r="C62" s="8"/>
    </row>
    <row r="63" customFormat="false" ht="15" hidden="false" customHeight="false" outlineLevel="0" collapsed="false">
      <c r="A63" s="8"/>
      <c r="B63" s="8"/>
      <c r="C63" s="8"/>
    </row>
    <row r="64" customFormat="false" ht="15" hidden="false" customHeight="false" outlineLevel="0" collapsed="false">
      <c r="A64" s="8"/>
      <c r="B64" s="8"/>
      <c r="C64" s="8"/>
    </row>
    <row r="65" customFormat="false" ht="15" hidden="false" customHeight="false" outlineLevel="0" collapsed="false">
      <c r="A65" s="8"/>
      <c r="B65" s="8"/>
      <c r="C65" s="8"/>
    </row>
    <row r="66" customFormat="false" ht="15" hidden="false" customHeight="false" outlineLevel="0" collapsed="false">
      <c r="A66" s="8"/>
      <c r="B66" s="8"/>
      <c r="C66" s="8"/>
    </row>
    <row r="67" customFormat="false" ht="15" hidden="false" customHeight="false" outlineLevel="0" collapsed="false">
      <c r="A67" s="8"/>
      <c r="B67" s="8"/>
      <c r="C67" s="8"/>
    </row>
    <row r="68" customFormat="false" ht="15" hidden="false" customHeight="false" outlineLevel="0" collapsed="false">
      <c r="A68" s="8"/>
      <c r="B68" s="8"/>
      <c r="C68" s="8"/>
    </row>
    <row r="69" customFormat="false" ht="15" hidden="false" customHeight="false" outlineLevel="0" collapsed="false">
      <c r="A69" s="8"/>
      <c r="B69" s="8"/>
      <c r="C69" s="8"/>
    </row>
    <row r="70" customFormat="false" ht="15" hidden="false" customHeight="false" outlineLevel="0" collapsed="false">
      <c r="A70" s="8"/>
      <c r="B70" s="8"/>
      <c r="C70" s="8"/>
    </row>
    <row r="71" customFormat="false" ht="15" hidden="false" customHeight="false" outlineLevel="0" collapsed="false">
      <c r="A71" s="8"/>
      <c r="B71" s="8"/>
      <c r="C71" s="8"/>
    </row>
    <row r="72" customFormat="false" ht="15" hidden="false" customHeight="false" outlineLevel="0" collapsed="false">
      <c r="A72" s="8"/>
      <c r="B72" s="8"/>
      <c r="C72" s="8"/>
    </row>
    <row r="73" customFormat="false" ht="15" hidden="false" customHeight="false" outlineLevel="0" collapsed="false">
      <c r="A73" s="8"/>
      <c r="B73" s="8"/>
      <c r="C73" s="8"/>
    </row>
    <row r="74" customFormat="false" ht="15" hidden="false" customHeight="false" outlineLevel="0" collapsed="false">
      <c r="A74" s="8"/>
      <c r="B74" s="8"/>
      <c r="C74" s="8"/>
    </row>
    <row r="75" customFormat="false" ht="15" hidden="false" customHeight="false" outlineLevel="0" collapsed="false">
      <c r="A75" s="8"/>
      <c r="B75" s="8"/>
      <c r="C75" s="8"/>
    </row>
    <row r="76" customFormat="false" ht="15" hidden="false" customHeight="false" outlineLevel="0" collapsed="false">
      <c r="A76" s="8"/>
      <c r="B76" s="8"/>
      <c r="C76" s="8"/>
    </row>
    <row r="77" customFormat="false" ht="15" hidden="false" customHeight="false" outlineLevel="0" collapsed="false">
      <c r="A77" s="8"/>
      <c r="B77" s="8"/>
      <c r="C77" s="8"/>
    </row>
    <row r="78" customFormat="false" ht="15" hidden="false" customHeight="false" outlineLevel="0" collapsed="false">
      <c r="A78" s="8"/>
      <c r="B78" s="8"/>
      <c r="C78" s="8"/>
    </row>
    <row r="79" customFormat="false" ht="15" hidden="false" customHeight="false" outlineLevel="0" collapsed="false">
      <c r="A79" s="8"/>
      <c r="B79" s="8"/>
      <c r="C79" s="8"/>
    </row>
    <row r="80" customFormat="false" ht="15" hidden="false" customHeight="false" outlineLevel="0" collapsed="false">
      <c r="A80" s="8"/>
      <c r="B80" s="8"/>
      <c r="C80" s="8"/>
    </row>
    <row r="81" customFormat="false" ht="15" hidden="false" customHeight="false" outlineLevel="0" collapsed="false">
      <c r="A81" s="8"/>
      <c r="B81" s="8"/>
      <c r="C81" s="8"/>
    </row>
    <row r="82" customFormat="false" ht="15" hidden="false" customHeight="false" outlineLevel="0" collapsed="false">
      <c r="A82" s="8"/>
      <c r="B82" s="8"/>
      <c r="C82" s="8"/>
    </row>
    <row r="83" customFormat="false" ht="15" hidden="false" customHeight="false" outlineLevel="0" collapsed="false">
      <c r="A83" s="8"/>
      <c r="B83" s="8"/>
      <c r="C83" s="8"/>
    </row>
    <row r="84" customFormat="false" ht="15" hidden="false" customHeight="false" outlineLevel="0" collapsed="false">
      <c r="A84" s="8"/>
      <c r="B84" s="8"/>
      <c r="C84" s="8"/>
    </row>
    <row r="85" customFormat="false" ht="15" hidden="false" customHeight="false" outlineLevel="0" collapsed="false">
      <c r="A85" s="8"/>
      <c r="B85" s="8"/>
      <c r="C85" s="8"/>
    </row>
    <row r="86" customFormat="false" ht="15" hidden="false" customHeight="false" outlineLevel="0" collapsed="false">
      <c r="A86" s="8"/>
      <c r="B86" s="8"/>
      <c r="C86" s="8"/>
    </row>
    <row r="87" customFormat="false" ht="15" hidden="false" customHeight="false" outlineLevel="0" collapsed="false">
      <c r="A87" s="8"/>
      <c r="B87" s="8"/>
      <c r="C87" s="8"/>
    </row>
    <row r="88" customFormat="false" ht="15" hidden="false" customHeight="false" outlineLevel="0" collapsed="false">
      <c r="A88" s="8"/>
      <c r="B88" s="8"/>
      <c r="C88" s="8"/>
    </row>
    <row r="89" customFormat="false" ht="15" hidden="false" customHeight="false" outlineLevel="0" collapsed="false">
      <c r="A89" s="8"/>
      <c r="B89" s="8"/>
      <c r="C89" s="8"/>
    </row>
    <row r="90" customFormat="false" ht="15" hidden="false" customHeight="false" outlineLevel="0" collapsed="false">
      <c r="A90" s="8"/>
      <c r="B90" s="8"/>
      <c r="C90" s="8"/>
    </row>
    <row r="91" customFormat="false" ht="15" hidden="false" customHeight="false" outlineLevel="0" collapsed="false">
      <c r="A91" s="8"/>
      <c r="B91" s="8"/>
      <c r="C91" s="8"/>
    </row>
    <row r="92" customFormat="false" ht="15" hidden="false" customHeight="false" outlineLevel="0" collapsed="false">
      <c r="A92" s="8"/>
      <c r="B92" s="8"/>
      <c r="C92" s="8"/>
    </row>
    <row r="93" customFormat="false" ht="15" hidden="false" customHeight="false" outlineLevel="0" collapsed="false">
      <c r="A93" s="8"/>
      <c r="B93" s="8"/>
      <c r="C93" s="8"/>
    </row>
    <row r="94" customFormat="false" ht="15" hidden="false" customHeight="false" outlineLevel="0" collapsed="false">
      <c r="A94" s="8"/>
      <c r="B94" s="8"/>
      <c r="C94" s="8"/>
    </row>
    <row r="95" customFormat="false" ht="15" hidden="false" customHeight="false" outlineLevel="0" collapsed="false">
      <c r="A95" s="8"/>
      <c r="B95" s="8"/>
      <c r="C95" s="8"/>
    </row>
    <row r="96" customFormat="false" ht="15" hidden="false" customHeight="false" outlineLevel="0" collapsed="false">
      <c r="A96" s="8"/>
      <c r="B96" s="8"/>
      <c r="C96" s="8"/>
    </row>
    <row r="97" customFormat="false" ht="15" hidden="false" customHeight="false" outlineLevel="0" collapsed="false">
      <c r="A97" s="8"/>
      <c r="B97" s="8"/>
      <c r="C97" s="8"/>
    </row>
    <row r="98" customFormat="false" ht="15" hidden="false" customHeight="false" outlineLevel="0" collapsed="false">
      <c r="A98" s="8"/>
      <c r="B98" s="8"/>
      <c r="C98" s="8"/>
    </row>
    <row r="99" customFormat="false" ht="15" hidden="false" customHeight="false" outlineLevel="0" collapsed="false">
      <c r="A99" s="8"/>
      <c r="B99" s="8"/>
      <c r="C99" s="8"/>
    </row>
    <row r="100" customFormat="false" ht="15" hidden="false" customHeight="false" outlineLevel="0" collapsed="false">
      <c r="A100" s="8"/>
      <c r="B100" s="8"/>
      <c r="C100" s="8"/>
    </row>
    <row r="101" customFormat="false" ht="15" hidden="false" customHeight="false" outlineLevel="0" collapsed="false">
      <c r="A101" s="8"/>
      <c r="B101" s="8"/>
      <c r="C101" s="8"/>
    </row>
    <row r="102" customFormat="false" ht="15" hidden="false" customHeight="false" outlineLevel="0" collapsed="false">
      <c r="A102" s="8"/>
      <c r="B102" s="8"/>
      <c r="C102" s="8"/>
    </row>
    <row r="103" customFormat="false" ht="15" hidden="false" customHeight="false" outlineLevel="0" collapsed="false">
      <c r="A103" s="8"/>
      <c r="B103" s="8"/>
      <c r="C103" s="8"/>
    </row>
    <row r="104" customFormat="false" ht="15" hidden="false" customHeight="false" outlineLevel="0" collapsed="false">
      <c r="A104" s="8"/>
      <c r="B104" s="8"/>
      <c r="C104" s="8"/>
    </row>
    <row r="105" customFormat="false" ht="15" hidden="false" customHeight="false" outlineLevel="0" collapsed="false">
      <c r="A105" s="8"/>
      <c r="B105" s="8"/>
      <c r="C105" s="8"/>
    </row>
    <row r="106" customFormat="false" ht="15" hidden="false" customHeight="false" outlineLevel="0" collapsed="false">
      <c r="A106" s="8"/>
      <c r="B106" s="8"/>
      <c r="C106" s="8"/>
    </row>
    <row r="107" customFormat="false" ht="15" hidden="false" customHeight="false" outlineLevel="0" collapsed="false">
      <c r="A107" s="8"/>
      <c r="B107" s="8"/>
      <c r="C107" s="8"/>
    </row>
    <row r="108" customFormat="false" ht="15" hidden="false" customHeight="false" outlineLevel="0" collapsed="false">
      <c r="A108" s="8"/>
      <c r="B108" s="8"/>
      <c r="C108" s="8"/>
    </row>
    <row r="109" customFormat="false" ht="15" hidden="false" customHeight="false" outlineLevel="0" collapsed="false">
      <c r="A109" s="8"/>
      <c r="B109" s="8"/>
      <c r="C109" s="8"/>
    </row>
    <row r="110" customFormat="false" ht="15" hidden="false" customHeight="false" outlineLevel="0" collapsed="false">
      <c r="A110" s="8"/>
      <c r="B110" s="8"/>
      <c r="C110" s="8"/>
    </row>
    <row r="111" customFormat="false" ht="15" hidden="false" customHeight="false" outlineLevel="0" collapsed="false">
      <c r="A111" s="8"/>
      <c r="B111" s="8"/>
      <c r="C111" s="8"/>
    </row>
    <row r="112" customFormat="false" ht="15" hidden="false" customHeight="false" outlineLevel="0" collapsed="false">
      <c r="A112" s="8"/>
      <c r="B112" s="8"/>
      <c r="C112" s="8"/>
    </row>
    <row r="113" customFormat="false" ht="15" hidden="false" customHeight="false" outlineLevel="0" collapsed="false">
      <c r="A113" s="8"/>
      <c r="B113" s="8"/>
      <c r="C113" s="8"/>
    </row>
    <row r="114" customFormat="false" ht="15" hidden="false" customHeight="false" outlineLevel="0" collapsed="false">
      <c r="A114" s="8"/>
      <c r="B114" s="8"/>
      <c r="C114" s="8"/>
    </row>
    <row r="115" customFormat="false" ht="15" hidden="false" customHeight="false" outlineLevel="0" collapsed="false">
      <c r="A115" s="8"/>
      <c r="B115" s="8"/>
      <c r="C115" s="8"/>
    </row>
    <row r="116" customFormat="false" ht="15" hidden="false" customHeight="false" outlineLevel="0" collapsed="false">
      <c r="A116" s="8"/>
      <c r="B116" s="8"/>
      <c r="C116" s="8"/>
    </row>
    <row r="117" customFormat="false" ht="15" hidden="false" customHeight="false" outlineLevel="0" collapsed="false">
      <c r="A117" s="8"/>
      <c r="B117" s="8"/>
      <c r="C117" s="8"/>
    </row>
    <row r="118" customFormat="false" ht="15" hidden="false" customHeight="false" outlineLevel="0" collapsed="false">
      <c r="A118" s="8"/>
      <c r="B118" s="8"/>
      <c r="C118" s="8"/>
    </row>
    <row r="119" customFormat="false" ht="15" hidden="false" customHeight="false" outlineLevel="0" collapsed="false">
      <c r="A119" s="8"/>
      <c r="B119" s="8"/>
      <c r="C119" s="8"/>
    </row>
    <row r="120" customFormat="false" ht="15" hidden="false" customHeight="false" outlineLevel="0" collapsed="false">
      <c r="A120" s="8"/>
      <c r="B120" s="8"/>
      <c r="C120" s="8"/>
    </row>
    <row r="121" customFormat="false" ht="15" hidden="false" customHeight="false" outlineLevel="0" collapsed="false">
      <c r="A121" s="8"/>
      <c r="B121" s="8"/>
      <c r="C121" s="8"/>
    </row>
    <row r="122" customFormat="false" ht="15" hidden="false" customHeight="false" outlineLevel="0" collapsed="false">
      <c r="A122" s="8"/>
      <c r="B122" s="8"/>
      <c r="C122" s="8"/>
    </row>
    <row r="123" customFormat="false" ht="15" hidden="false" customHeight="false" outlineLevel="0" collapsed="false">
      <c r="A123" s="8"/>
      <c r="B123" s="8"/>
      <c r="C123" s="8"/>
    </row>
    <row r="124" customFormat="false" ht="15" hidden="false" customHeight="false" outlineLevel="0" collapsed="false">
      <c r="A124" s="8"/>
      <c r="B124" s="8"/>
      <c r="C124" s="8"/>
    </row>
    <row r="125" customFormat="false" ht="15" hidden="false" customHeight="false" outlineLevel="0" collapsed="false">
      <c r="A125" s="8"/>
      <c r="B125" s="8"/>
      <c r="C125" s="8"/>
    </row>
    <row r="126" customFormat="false" ht="15" hidden="false" customHeight="false" outlineLevel="0" collapsed="false">
      <c r="A126" s="8"/>
      <c r="B126" s="8"/>
      <c r="C126" s="8"/>
    </row>
    <row r="127" customFormat="false" ht="15" hidden="false" customHeight="false" outlineLevel="0" collapsed="false">
      <c r="A127" s="8"/>
      <c r="B127" s="8"/>
      <c r="C127" s="8"/>
    </row>
    <row r="128" customFormat="false" ht="15" hidden="false" customHeight="false" outlineLevel="0" collapsed="false">
      <c r="A128" s="8"/>
      <c r="B128" s="8"/>
      <c r="C128" s="8"/>
    </row>
    <row r="129" customFormat="false" ht="15" hidden="false" customHeight="false" outlineLevel="0" collapsed="false">
      <c r="A129" s="8"/>
      <c r="B129" s="8"/>
      <c r="C129" s="8"/>
    </row>
    <row r="130" customFormat="false" ht="15" hidden="false" customHeight="false" outlineLevel="0" collapsed="false">
      <c r="A130" s="8"/>
      <c r="B130" s="8"/>
      <c r="C130" s="8"/>
    </row>
    <row r="131" customFormat="false" ht="15" hidden="false" customHeight="false" outlineLevel="0" collapsed="false">
      <c r="A131" s="8"/>
      <c r="B131" s="8"/>
      <c r="C131" s="8"/>
    </row>
    <row r="132" customFormat="false" ht="15" hidden="false" customHeight="false" outlineLevel="0" collapsed="false">
      <c r="A132" s="8"/>
      <c r="B132" s="8"/>
      <c r="C132" s="8"/>
    </row>
    <row r="133" customFormat="false" ht="15" hidden="false" customHeight="false" outlineLevel="0" collapsed="false">
      <c r="A133" s="8"/>
      <c r="B133" s="8"/>
      <c r="C133" s="8"/>
    </row>
    <row r="134" customFormat="false" ht="15" hidden="false" customHeight="false" outlineLevel="0" collapsed="false">
      <c r="A134" s="8"/>
      <c r="B134" s="8"/>
      <c r="C134" s="8"/>
    </row>
    <row r="135" customFormat="false" ht="15" hidden="false" customHeight="false" outlineLevel="0" collapsed="false">
      <c r="A135" s="8"/>
      <c r="B135" s="8"/>
      <c r="C135" s="8"/>
    </row>
    <row r="136" customFormat="false" ht="15" hidden="false" customHeight="false" outlineLevel="0" collapsed="false">
      <c r="A136" s="8"/>
      <c r="B136" s="8"/>
      <c r="C136" s="8"/>
    </row>
    <row r="137" customFormat="false" ht="15" hidden="false" customHeight="false" outlineLevel="0" collapsed="false">
      <c r="A137" s="8"/>
      <c r="B137" s="8"/>
      <c r="C137" s="8"/>
    </row>
    <row r="138" customFormat="false" ht="15" hidden="false" customHeight="false" outlineLevel="0" collapsed="false">
      <c r="A138" s="8"/>
      <c r="B138" s="8"/>
      <c r="C138" s="8"/>
    </row>
    <row r="139" customFormat="false" ht="15" hidden="false" customHeight="false" outlineLevel="0" collapsed="false">
      <c r="A139" s="8"/>
      <c r="B139" s="8"/>
      <c r="C139" s="8"/>
    </row>
    <row r="140" customFormat="false" ht="15" hidden="false" customHeight="false" outlineLevel="0" collapsed="false">
      <c r="A140" s="8"/>
      <c r="B140" s="8"/>
      <c r="C140" s="8"/>
    </row>
    <row r="141" customFormat="false" ht="15" hidden="false" customHeight="false" outlineLevel="0" collapsed="false">
      <c r="A141" s="8"/>
      <c r="B141" s="8"/>
      <c r="C141" s="8"/>
    </row>
    <row r="142" customFormat="false" ht="15" hidden="false" customHeight="false" outlineLevel="0" collapsed="false">
      <c r="A142" s="8"/>
      <c r="B142" s="8"/>
      <c r="C142" s="8"/>
    </row>
    <row r="143" customFormat="false" ht="15" hidden="false" customHeight="false" outlineLevel="0" collapsed="false">
      <c r="A143" s="8"/>
      <c r="B143" s="8"/>
      <c r="C143" s="8"/>
    </row>
    <row r="144" customFormat="false" ht="15" hidden="false" customHeight="false" outlineLevel="0" collapsed="false">
      <c r="A144" s="8"/>
      <c r="B144" s="8"/>
      <c r="C144" s="8"/>
    </row>
    <row r="145" customFormat="false" ht="15" hidden="false" customHeight="false" outlineLevel="0" collapsed="false">
      <c r="A145" s="8"/>
      <c r="B145" s="8"/>
      <c r="C145" s="8"/>
    </row>
    <row r="146" customFormat="false" ht="15" hidden="false" customHeight="false" outlineLevel="0" collapsed="false">
      <c r="A146" s="8"/>
      <c r="B146" s="8"/>
      <c r="C146" s="8"/>
    </row>
    <row r="147" customFormat="false" ht="15" hidden="false" customHeight="false" outlineLevel="0" collapsed="false">
      <c r="A147" s="8"/>
      <c r="B147" s="8"/>
      <c r="C147" s="8"/>
    </row>
    <row r="148" customFormat="false" ht="15" hidden="false" customHeight="false" outlineLevel="0" collapsed="false">
      <c r="A148" s="8"/>
      <c r="B148" s="8"/>
      <c r="C148" s="8"/>
    </row>
    <row r="149" customFormat="false" ht="15" hidden="false" customHeight="false" outlineLevel="0" collapsed="false">
      <c r="A149" s="8"/>
      <c r="B149" s="8"/>
      <c r="C149" s="8"/>
    </row>
    <row r="150" customFormat="false" ht="15" hidden="false" customHeight="false" outlineLevel="0" collapsed="false">
      <c r="A150" s="8"/>
      <c r="B150" s="8"/>
      <c r="C150" s="8"/>
    </row>
    <row r="151" customFormat="false" ht="15" hidden="false" customHeight="false" outlineLevel="0" collapsed="false">
      <c r="A151" s="8"/>
      <c r="B151" s="8"/>
      <c r="C151" s="8"/>
    </row>
    <row r="152" customFormat="false" ht="15" hidden="false" customHeight="false" outlineLevel="0" collapsed="false">
      <c r="A152" s="8"/>
      <c r="B152" s="8"/>
      <c r="C152" s="8"/>
    </row>
    <row r="153" customFormat="false" ht="15" hidden="false" customHeight="false" outlineLevel="0" collapsed="false">
      <c r="A153" s="8"/>
      <c r="B153" s="8"/>
      <c r="C153" s="8"/>
    </row>
    <row r="154" customFormat="false" ht="15" hidden="false" customHeight="false" outlineLevel="0" collapsed="false">
      <c r="A154" s="8"/>
      <c r="B154" s="8"/>
      <c r="C154" s="8"/>
    </row>
    <row r="155" customFormat="false" ht="15" hidden="false" customHeight="false" outlineLevel="0" collapsed="false">
      <c r="A155" s="8"/>
      <c r="B155" s="8"/>
      <c r="C155" s="8"/>
    </row>
    <row r="156" customFormat="false" ht="15" hidden="false" customHeight="false" outlineLevel="0" collapsed="false">
      <c r="A156" s="8"/>
      <c r="B156" s="8"/>
      <c r="C156" s="8"/>
    </row>
    <row r="157" customFormat="false" ht="15" hidden="false" customHeight="false" outlineLevel="0" collapsed="false">
      <c r="A157" s="8"/>
      <c r="B157" s="8"/>
      <c r="C157" s="8"/>
    </row>
    <row r="158" customFormat="false" ht="15" hidden="false" customHeight="false" outlineLevel="0" collapsed="false">
      <c r="A158" s="8"/>
      <c r="B158" s="8"/>
      <c r="C158" s="8"/>
    </row>
    <row r="159" customFormat="false" ht="15" hidden="false" customHeight="false" outlineLevel="0" collapsed="false">
      <c r="A159" s="8"/>
      <c r="B159" s="8"/>
      <c r="C159" s="8"/>
    </row>
    <row r="160" customFormat="false" ht="15" hidden="false" customHeight="false" outlineLevel="0" collapsed="false">
      <c r="A160" s="8"/>
      <c r="B160" s="8"/>
      <c r="C160" s="8"/>
    </row>
    <row r="161" customFormat="false" ht="15" hidden="false" customHeight="false" outlineLevel="0" collapsed="false">
      <c r="A161" s="8"/>
      <c r="B161" s="8"/>
      <c r="C161" s="8"/>
    </row>
    <row r="162" customFormat="false" ht="15" hidden="false" customHeight="false" outlineLevel="0" collapsed="false">
      <c r="A162" s="8"/>
      <c r="B162" s="8"/>
      <c r="C162" s="8"/>
    </row>
    <row r="163" customFormat="false" ht="15" hidden="false" customHeight="false" outlineLevel="0" collapsed="false">
      <c r="A163" s="8"/>
      <c r="B163" s="8"/>
      <c r="C163" s="8"/>
    </row>
    <row r="164" customFormat="false" ht="15" hidden="false" customHeight="false" outlineLevel="0" collapsed="false">
      <c r="A164" s="8"/>
      <c r="B164" s="8"/>
      <c r="C164" s="8"/>
    </row>
    <row r="165" customFormat="false" ht="15" hidden="false" customHeight="false" outlineLevel="0" collapsed="false">
      <c r="A165" s="8"/>
      <c r="B165" s="8"/>
      <c r="C165" s="8"/>
    </row>
    <row r="166" customFormat="false" ht="15" hidden="false" customHeight="false" outlineLevel="0" collapsed="false">
      <c r="A166" s="8"/>
      <c r="B166" s="8"/>
      <c r="C166" s="8"/>
    </row>
    <row r="167" customFormat="false" ht="15" hidden="false" customHeight="false" outlineLevel="0" collapsed="false">
      <c r="A167" s="8"/>
      <c r="B167" s="8"/>
      <c r="C167" s="8"/>
    </row>
    <row r="168" customFormat="false" ht="15" hidden="false" customHeight="false" outlineLevel="0" collapsed="false">
      <c r="A168" s="8"/>
      <c r="B168" s="8"/>
      <c r="C168" s="8"/>
    </row>
    <row r="169" customFormat="false" ht="15" hidden="false" customHeight="false" outlineLevel="0" collapsed="false">
      <c r="A169" s="8"/>
      <c r="B169" s="8"/>
      <c r="C169" s="8"/>
    </row>
    <row r="170" customFormat="false" ht="15" hidden="false" customHeight="false" outlineLevel="0" collapsed="false">
      <c r="A170" s="8"/>
      <c r="B170" s="8"/>
      <c r="C170" s="8"/>
    </row>
    <row r="171" customFormat="false" ht="15" hidden="false" customHeight="false" outlineLevel="0" collapsed="false">
      <c r="A171" s="8"/>
      <c r="B171" s="8"/>
      <c r="C171" s="8"/>
    </row>
    <row r="172" customFormat="false" ht="15" hidden="false" customHeight="false" outlineLevel="0" collapsed="false">
      <c r="A172" s="8"/>
      <c r="B172" s="8"/>
      <c r="C172" s="8"/>
    </row>
    <row r="173" customFormat="false" ht="15" hidden="false" customHeight="false" outlineLevel="0" collapsed="false">
      <c r="A173" s="8"/>
      <c r="B173" s="8"/>
      <c r="C173" s="8"/>
    </row>
    <row r="174" customFormat="false" ht="15" hidden="false" customHeight="false" outlineLevel="0" collapsed="false">
      <c r="A174" s="8"/>
      <c r="B174" s="8"/>
      <c r="C174" s="8"/>
    </row>
    <row r="175" customFormat="false" ht="15" hidden="false" customHeight="false" outlineLevel="0" collapsed="false">
      <c r="A175" s="8"/>
      <c r="B175" s="8"/>
      <c r="C175" s="8"/>
    </row>
    <row r="176" customFormat="false" ht="15" hidden="false" customHeight="false" outlineLevel="0" collapsed="false">
      <c r="A176" s="8"/>
      <c r="B176" s="8"/>
      <c r="C176" s="8"/>
    </row>
    <row r="177" customFormat="false" ht="15" hidden="false" customHeight="false" outlineLevel="0" collapsed="false">
      <c r="A177" s="8"/>
      <c r="B177" s="8"/>
      <c r="C177" s="8"/>
    </row>
    <row r="178" customFormat="false" ht="15" hidden="false" customHeight="false" outlineLevel="0" collapsed="false">
      <c r="A178" s="8"/>
      <c r="B178" s="8"/>
      <c r="C178" s="8"/>
    </row>
    <row r="179" customFormat="false" ht="15" hidden="false" customHeight="false" outlineLevel="0" collapsed="false">
      <c r="A179" s="8"/>
      <c r="B179" s="8"/>
      <c r="C179" s="8"/>
    </row>
    <row r="180" customFormat="false" ht="15" hidden="false" customHeight="false" outlineLevel="0" collapsed="false">
      <c r="A180" s="8"/>
      <c r="B180" s="8"/>
      <c r="C180" s="8"/>
    </row>
    <row r="181" customFormat="false" ht="15" hidden="false" customHeight="false" outlineLevel="0" collapsed="false">
      <c r="A181" s="8"/>
      <c r="B181" s="8"/>
      <c r="C181" s="8"/>
    </row>
    <row r="182" customFormat="false" ht="15" hidden="false" customHeight="false" outlineLevel="0" collapsed="false">
      <c r="A182" s="8"/>
      <c r="B182" s="8"/>
      <c r="C182" s="8"/>
    </row>
    <row r="183" customFormat="false" ht="15" hidden="false" customHeight="false" outlineLevel="0" collapsed="false">
      <c r="A183" s="8"/>
      <c r="B183" s="8"/>
      <c r="C183" s="8"/>
    </row>
    <row r="184" customFormat="false" ht="15" hidden="false" customHeight="false" outlineLevel="0" collapsed="false">
      <c r="A184" s="8"/>
      <c r="B184" s="8"/>
      <c r="C184" s="8"/>
    </row>
    <row r="185" customFormat="false" ht="15" hidden="false" customHeight="false" outlineLevel="0" collapsed="false">
      <c r="A185" s="8"/>
      <c r="B185" s="8"/>
      <c r="C185" s="8"/>
    </row>
    <row r="186" customFormat="false" ht="15" hidden="false" customHeight="false" outlineLevel="0" collapsed="false">
      <c r="A186" s="8"/>
      <c r="B186" s="8"/>
      <c r="C186" s="8"/>
    </row>
    <row r="187" customFormat="false" ht="15" hidden="false" customHeight="false" outlineLevel="0" collapsed="false">
      <c r="A187" s="8"/>
      <c r="B187" s="8"/>
      <c r="C187" s="8"/>
    </row>
    <row r="188" customFormat="false" ht="15" hidden="false" customHeight="false" outlineLevel="0" collapsed="false">
      <c r="A188" s="8"/>
      <c r="B188" s="8"/>
      <c r="C188" s="8"/>
    </row>
    <row r="189" customFormat="false" ht="15" hidden="false" customHeight="false" outlineLevel="0" collapsed="false">
      <c r="A189" s="8"/>
      <c r="B189" s="8"/>
      <c r="C189" s="8"/>
    </row>
    <row r="190" customFormat="false" ht="15" hidden="false" customHeight="false" outlineLevel="0" collapsed="false">
      <c r="A190" s="8"/>
      <c r="B190" s="8"/>
      <c r="C190" s="8"/>
    </row>
    <row r="191" customFormat="false" ht="15" hidden="false" customHeight="false" outlineLevel="0" collapsed="false">
      <c r="A191" s="8"/>
      <c r="B191" s="8"/>
      <c r="C191" s="8"/>
    </row>
    <row r="192" customFormat="false" ht="15" hidden="false" customHeight="false" outlineLevel="0" collapsed="false">
      <c r="A192" s="8"/>
      <c r="B192" s="8"/>
      <c r="C192" s="8"/>
    </row>
    <row r="193" customFormat="false" ht="15" hidden="false" customHeight="false" outlineLevel="0" collapsed="false">
      <c r="A193" s="8"/>
      <c r="B193" s="8"/>
      <c r="C193" s="8"/>
    </row>
    <row r="194" customFormat="false" ht="15" hidden="false" customHeight="false" outlineLevel="0" collapsed="false">
      <c r="A194" s="8"/>
      <c r="B194" s="8"/>
      <c r="C194" s="8"/>
    </row>
    <row r="195" customFormat="false" ht="15" hidden="false" customHeight="false" outlineLevel="0" collapsed="false">
      <c r="A195" s="8"/>
      <c r="B195" s="8"/>
      <c r="C195" s="8"/>
    </row>
    <row r="196" customFormat="false" ht="15" hidden="false" customHeight="false" outlineLevel="0" collapsed="false">
      <c r="A196" s="8"/>
      <c r="B196" s="8"/>
      <c r="C196" s="8"/>
    </row>
    <row r="197" customFormat="false" ht="15" hidden="false" customHeight="false" outlineLevel="0" collapsed="false">
      <c r="A197" s="8"/>
      <c r="B197" s="8"/>
      <c r="C197" s="8"/>
    </row>
    <row r="198" customFormat="false" ht="15" hidden="false" customHeight="false" outlineLevel="0" collapsed="false">
      <c r="A198" s="8"/>
      <c r="B198" s="8"/>
      <c r="C198" s="8"/>
    </row>
    <row r="199" customFormat="false" ht="15" hidden="false" customHeight="false" outlineLevel="0" collapsed="false">
      <c r="A199" s="8"/>
      <c r="B199" s="8"/>
      <c r="C199" s="8"/>
    </row>
    <row r="200" customFormat="false" ht="15" hidden="false" customHeight="false" outlineLevel="0" collapsed="false">
      <c r="A200" s="8"/>
      <c r="B200" s="8"/>
      <c r="C200" s="8"/>
    </row>
    <row r="201" customFormat="false" ht="15" hidden="false" customHeight="false" outlineLevel="0" collapsed="false">
      <c r="A201" s="8"/>
      <c r="B201" s="8"/>
      <c r="C201" s="8"/>
    </row>
    <row r="202" customFormat="false" ht="15" hidden="false" customHeight="false" outlineLevel="0" collapsed="false">
      <c r="A202" s="8"/>
      <c r="B202" s="8"/>
      <c r="C202" s="8"/>
    </row>
    <row r="203" customFormat="false" ht="15" hidden="false" customHeight="false" outlineLevel="0" collapsed="false">
      <c r="A203" s="8"/>
      <c r="B203" s="8"/>
      <c r="C203" s="8"/>
    </row>
    <row r="204" customFormat="false" ht="15" hidden="false" customHeight="false" outlineLevel="0" collapsed="false">
      <c r="A204" s="8"/>
      <c r="B204" s="8"/>
      <c r="C204" s="8"/>
    </row>
    <row r="205" customFormat="false" ht="15" hidden="false" customHeight="false" outlineLevel="0" collapsed="false">
      <c r="A205" s="8"/>
      <c r="B205" s="8"/>
      <c r="C205" s="8"/>
    </row>
  </sheetData>
  <dataValidations count="2">
    <dataValidation allowBlank="true" errorStyle="stop" operator="between" showDropDown="false" showErrorMessage="false" showInputMessage="false" sqref="B6:B205" type="whole">
      <formula1>1</formula1>
      <formula2>10</formula2>
    </dataValidation>
    <dataValidation allowBlank="true" errorStyle="stop" operator="between" showDropDown="false" showErrorMessage="false" showInputMessage="false" sqref="C6:C205" type="list">
      <formula1>"A,B"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5" min="4" style="0" width="12"/>
    <col collapsed="false" customWidth="true" hidden="false" outlineLevel="0" max="6" min="6" style="0" width="40"/>
    <col collapsed="false" customWidth="true" hidden="false" outlineLevel="0" max="9" min="7" style="0" width="12"/>
  </cols>
  <sheetData>
    <row r="1" customFormat="false" ht="17.35" hidden="false" customHeight="false" outlineLevel="0" collapsed="false">
      <c r="A1" s="5" t="s">
        <v>144</v>
      </c>
    </row>
    <row r="2" customFormat="false" ht="15" hidden="false" customHeight="false" outlineLevel="0" collapsed="false">
      <c r="A2" s="6" t="s">
        <v>145</v>
      </c>
    </row>
    <row r="3" customFormat="false" ht="15" hidden="false" customHeight="false" outlineLevel="0" collapsed="false">
      <c r="A3" s="20" t="s">
        <v>72</v>
      </c>
    </row>
    <row r="4" customFormat="false" ht="15" hidden="false" customHeight="false" outlineLevel="0" collapsed="false">
      <c r="A4" s="21" t="s">
        <v>73</v>
      </c>
      <c r="B4" s="21" t="s">
        <v>141</v>
      </c>
      <c r="C4" s="21" t="s">
        <v>141</v>
      </c>
      <c r="D4" s="21" t="n">
        <v>3</v>
      </c>
      <c r="E4" s="21" t="n">
        <v>5</v>
      </c>
      <c r="F4" s="21" t="s">
        <v>146</v>
      </c>
    </row>
    <row r="5" customFormat="false" ht="42" hidden="false" customHeight="true" outlineLevel="0" collapsed="false">
      <c r="A5" s="22" t="s">
        <v>134</v>
      </c>
      <c r="B5" s="22" t="s">
        <v>147</v>
      </c>
      <c r="C5" s="22" t="s">
        <v>148</v>
      </c>
      <c r="D5" s="22" t="s">
        <v>149</v>
      </c>
      <c r="E5" s="22" t="s">
        <v>150</v>
      </c>
      <c r="F5" s="22" t="s">
        <v>151</v>
      </c>
      <c r="G5" s="23" t="s">
        <v>152</v>
      </c>
      <c r="H5" s="23" t="s">
        <v>153</v>
      </c>
      <c r="I5" s="23" t="s">
        <v>154</v>
      </c>
    </row>
    <row r="6" customFormat="false" ht="15" hidden="false" customHeight="false" outlineLevel="0" collapsed="false">
      <c r="A6" s="8" t="s">
        <v>110</v>
      </c>
      <c r="B6" s="8" t="s">
        <v>155</v>
      </c>
      <c r="C6" s="8"/>
      <c r="D6" s="8"/>
      <c r="E6" s="8"/>
      <c r="F6" s="8"/>
      <c r="G6" s="24" t="str">
        <f aca="false">IF(C6="","",IF(C6=B6,1,0))</f>
        <v/>
      </c>
      <c r="H6" s="24" t="str">
        <f aca="false">IF(B6="A",IF(ISNUMBER(D6),D6,""),IF(B6="B",IF(ISNUMBER(E6),E6,""),""))</f>
        <v/>
      </c>
      <c r="I6" s="24" t="str">
        <f aca="false">IF(B6="A",IF(ISNUMBER(E6),E6,""),IF(B6="B",IF(ISNUMBER(D6),D6,""),""))</f>
        <v/>
      </c>
    </row>
    <row r="7" customFormat="false" ht="15" hidden="false" customHeight="false" outlineLevel="0" collapsed="false">
      <c r="A7" s="8" t="s">
        <v>111</v>
      </c>
      <c r="B7" s="8" t="s">
        <v>155</v>
      </c>
      <c r="C7" s="8"/>
      <c r="D7" s="8"/>
      <c r="E7" s="8"/>
      <c r="F7" s="8"/>
      <c r="G7" s="24" t="str">
        <f aca="false">IF(C7="","",IF(C7=B7,1,0))</f>
        <v/>
      </c>
      <c r="H7" s="24" t="str">
        <f aca="false">IF(B7="A",IF(ISNUMBER(D7),D7,""),IF(B7="B",IF(ISNUMBER(E7),E7,""),""))</f>
        <v/>
      </c>
      <c r="I7" s="24" t="str">
        <f aca="false">IF(B7="A",IF(ISNUMBER(E7),E7,""),IF(B7="B",IF(ISNUMBER(D7),D7,""),""))</f>
        <v/>
      </c>
    </row>
    <row r="8" customFormat="false" ht="15" hidden="false" customHeight="false" outlineLevel="0" collapsed="false">
      <c r="A8" s="8" t="s">
        <v>112</v>
      </c>
      <c r="B8" s="8" t="s">
        <v>141</v>
      </c>
      <c r="C8" s="8"/>
      <c r="D8" s="8"/>
      <c r="E8" s="8"/>
      <c r="F8" s="8"/>
      <c r="G8" s="24" t="str">
        <f aca="false">IF(C8="","",IF(C8=B8,1,0))</f>
        <v/>
      </c>
      <c r="H8" s="24" t="str">
        <f aca="false">IF(B8="A",IF(ISNUMBER(D8),D8,""),IF(B8="B",IF(ISNUMBER(E8),E8,""),""))</f>
        <v/>
      </c>
      <c r="I8" s="24" t="str">
        <f aca="false">IF(B8="A",IF(ISNUMBER(E8),E8,""),IF(B8="B",IF(ISNUMBER(D8),D8,""),""))</f>
        <v/>
      </c>
    </row>
    <row r="9" customFormat="false" ht="15" hidden="false" customHeight="false" outlineLevel="0" collapsed="false">
      <c r="A9" s="8" t="s">
        <v>113</v>
      </c>
      <c r="B9" s="8" t="s">
        <v>141</v>
      </c>
      <c r="C9" s="8"/>
      <c r="D9" s="8"/>
      <c r="E9" s="8"/>
      <c r="F9" s="8"/>
      <c r="G9" s="24" t="str">
        <f aca="false">IF(C9="","",IF(C9=B9,1,0))</f>
        <v/>
      </c>
      <c r="H9" s="24" t="str">
        <f aca="false">IF(B9="A",IF(ISNUMBER(D9),D9,""),IF(B9="B",IF(ISNUMBER(E9),E9,""),""))</f>
        <v/>
      </c>
      <c r="I9" s="24" t="str">
        <f aca="false">IF(B9="A",IF(ISNUMBER(E9),E9,""),IF(B9="B",IF(ISNUMBER(D9),D9,""),""))</f>
        <v/>
      </c>
    </row>
    <row r="10" customFormat="false" ht="15" hidden="false" customHeight="false" outlineLevel="0" collapsed="false">
      <c r="A10" s="8" t="s">
        <v>114</v>
      </c>
      <c r="B10" s="8" t="s">
        <v>141</v>
      </c>
      <c r="C10" s="8"/>
      <c r="D10" s="8"/>
      <c r="E10" s="8"/>
      <c r="F10" s="8"/>
      <c r="G10" s="24" t="str">
        <f aca="false">IF(C10="","",IF(C10=B10,1,0))</f>
        <v/>
      </c>
      <c r="H10" s="24" t="str">
        <f aca="false">IF(B10="A",IF(ISNUMBER(D10),D10,""),IF(B10="B",IF(ISNUMBER(E10),E10,""),""))</f>
        <v/>
      </c>
      <c r="I10" s="24" t="str">
        <f aca="false">IF(B10="A",IF(ISNUMBER(E10),E10,""),IF(B10="B",IF(ISNUMBER(D10),D10,""),""))</f>
        <v/>
      </c>
    </row>
    <row r="11" customFormat="false" ht="15" hidden="false" customHeight="false" outlineLevel="0" collapsed="false">
      <c r="A11" s="8" t="s">
        <v>115</v>
      </c>
      <c r="B11" s="8" t="s">
        <v>141</v>
      </c>
      <c r="C11" s="8"/>
      <c r="D11" s="8"/>
      <c r="E11" s="8"/>
      <c r="F11" s="8"/>
      <c r="G11" s="24" t="str">
        <f aca="false">IF(C11="","",IF(C11=B11,1,0))</f>
        <v/>
      </c>
      <c r="H11" s="24" t="str">
        <f aca="false">IF(B11="A",IF(ISNUMBER(D11),D11,""),IF(B11="B",IF(ISNUMBER(E11),E11,""),""))</f>
        <v/>
      </c>
      <c r="I11" s="24" t="str">
        <f aca="false">IF(B11="A",IF(ISNUMBER(E11),E11,""),IF(B11="B",IF(ISNUMBER(D11),D11,""),""))</f>
        <v/>
      </c>
    </row>
    <row r="12" customFormat="false" ht="15" hidden="false" customHeight="false" outlineLevel="0" collapsed="false">
      <c r="A12" s="8" t="s">
        <v>116</v>
      </c>
      <c r="B12" s="8" t="s">
        <v>155</v>
      </c>
      <c r="C12" s="8"/>
      <c r="D12" s="8"/>
      <c r="E12" s="8"/>
      <c r="F12" s="8"/>
      <c r="G12" s="24" t="str">
        <f aca="false">IF(C12="","",IF(C12=B12,1,0))</f>
        <v/>
      </c>
      <c r="H12" s="24" t="str">
        <f aca="false">IF(B12="A",IF(ISNUMBER(D12),D12,""),IF(B12="B",IF(ISNUMBER(E12),E12,""),""))</f>
        <v/>
      </c>
      <c r="I12" s="24" t="str">
        <f aca="false">IF(B12="A",IF(ISNUMBER(E12),E12,""),IF(B12="B",IF(ISNUMBER(D12),D12,""),""))</f>
        <v/>
      </c>
    </row>
    <row r="13" customFormat="false" ht="15" hidden="false" customHeight="false" outlineLevel="0" collapsed="false">
      <c r="A13" s="8" t="s">
        <v>117</v>
      </c>
      <c r="B13" s="8" t="s">
        <v>141</v>
      </c>
      <c r="C13" s="8"/>
      <c r="D13" s="8"/>
      <c r="E13" s="8"/>
      <c r="F13" s="8"/>
      <c r="G13" s="24" t="str">
        <f aca="false">IF(C13="","",IF(C13=B13,1,0))</f>
        <v/>
      </c>
      <c r="H13" s="24" t="str">
        <f aca="false">IF(B13="A",IF(ISNUMBER(D13),D13,""),IF(B13="B",IF(ISNUMBER(E13),E13,""),""))</f>
        <v/>
      </c>
      <c r="I13" s="24" t="str">
        <f aca="false">IF(B13="A",IF(ISNUMBER(E13),E13,""),IF(B13="B",IF(ISNUMBER(D13),D13,""),""))</f>
        <v/>
      </c>
    </row>
    <row r="14" customFormat="false" ht="15" hidden="false" customHeight="false" outlineLevel="0" collapsed="false">
      <c r="A14" s="8" t="s">
        <v>118</v>
      </c>
      <c r="B14" s="8" t="s">
        <v>155</v>
      </c>
      <c r="C14" s="8"/>
      <c r="D14" s="8"/>
      <c r="E14" s="8"/>
      <c r="F14" s="8"/>
      <c r="G14" s="24" t="str">
        <f aca="false">IF(C14="","",IF(C14=B14,1,0))</f>
        <v/>
      </c>
      <c r="H14" s="24" t="str">
        <f aca="false">IF(B14="A",IF(ISNUMBER(D14),D14,""),IF(B14="B",IF(ISNUMBER(E14),E14,""),""))</f>
        <v/>
      </c>
      <c r="I14" s="24" t="str">
        <f aca="false">IF(B14="A",IF(ISNUMBER(E14),E14,""),IF(B14="B",IF(ISNUMBER(D14),D14,""),""))</f>
        <v/>
      </c>
    </row>
    <row r="15" customFormat="false" ht="15" hidden="false" customHeight="false" outlineLevel="0" collapsed="false">
      <c r="A15" s="8" t="s">
        <v>119</v>
      </c>
      <c r="B15" s="8" t="s">
        <v>155</v>
      </c>
      <c r="C15" s="8"/>
      <c r="D15" s="8"/>
      <c r="E15" s="8"/>
      <c r="F15" s="8"/>
      <c r="G15" s="24" t="str">
        <f aca="false">IF(C15="","",IF(C15=B15,1,0))</f>
        <v/>
      </c>
      <c r="H15" s="24" t="str">
        <f aca="false">IF(B15="A",IF(ISNUMBER(D15),D15,""),IF(B15="B",IF(ISNUMBER(E15),E15,""),""))</f>
        <v/>
      </c>
      <c r="I15" s="24" t="str">
        <f aca="false">IF(B15="A",IF(ISNUMBER(E15),E15,""),IF(B15="B",IF(ISNUMBER(D15),D15,""),""))</f>
        <v/>
      </c>
    </row>
    <row r="16" customFormat="false" ht="15" hidden="false" customHeight="false" outlineLevel="0" collapsed="false">
      <c r="A16" s="8" t="s">
        <v>120</v>
      </c>
      <c r="B16" s="8" t="s">
        <v>155</v>
      </c>
      <c r="C16" s="8"/>
      <c r="D16" s="8"/>
      <c r="E16" s="8"/>
      <c r="F16" s="8"/>
      <c r="G16" s="24" t="str">
        <f aca="false">IF(C16="","",IF(C16=B16,1,0))</f>
        <v/>
      </c>
      <c r="H16" s="24" t="str">
        <f aca="false">IF(B16="A",IF(ISNUMBER(D16),D16,""),IF(B16="B",IF(ISNUMBER(E16),E16,""),""))</f>
        <v/>
      </c>
      <c r="I16" s="24" t="str">
        <f aca="false">IF(B16="A",IF(ISNUMBER(E16),E16,""),IF(B16="B",IF(ISNUMBER(D16),D16,""),""))</f>
        <v/>
      </c>
    </row>
    <row r="17" customFormat="false" ht="15" hidden="false" customHeight="false" outlineLevel="0" collapsed="false">
      <c r="A17" s="8" t="s">
        <v>121</v>
      </c>
      <c r="B17" s="8" t="s">
        <v>141</v>
      </c>
      <c r="C17" s="8"/>
      <c r="D17" s="8"/>
      <c r="E17" s="8"/>
      <c r="F17" s="8"/>
      <c r="G17" s="24" t="str">
        <f aca="false">IF(C17="","",IF(C17=B17,1,0))</f>
        <v/>
      </c>
      <c r="H17" s="24" t="str">
        <f aca="false">IF(B17="A",IF(ISNUMBER(D17),D17,""),IF(B17="B",IF(ISNUMBER(E17),E17,""),""))</f>
        <v/>
      </c>
      <c r="I17" s="24" t="str">
        <f aca="false">IF(B17="A",IF(ISNUMBER(E17),E17,""),IF(B17="B",IF(ISNUMBER(D17),D17,""),""))</f>
        <v/>
      </c>
    </row>
    <row r="18" customFormat="false" ht="15" hidden="false" customHeight="false" outlineLevel="0" collapsed="false">
      <c r="A18" s="8" t="s">
        <v>122</v>
      </c>
      <c r="B18" s="8" t="s">
        <v>141</v>
      </c>
      <c r="C18" s="8"/>
      <c r="D18" s="8"/>
      <c r="E18" s="8"/>
      <c r="F18" s="8"/>
      <c r="G18" s="24" t="str">
        <f aca="false">IF(C18="","",IF(C18=B18,1,0))</f>
        <v/>
      </c>
      <c r="H18" s="24" t="str">
        <f aca="false">IF(B18="A",IF(ISNUMBER(D18),D18,""),IF(B18="B",IF(ISNUMBER(E18),E18,""),""))</f>
        <v/>
      </c>
      <c r="I18" s="24" t="str">
        <f aca="false">IF(B18="A",IF(ISNUMBER(E18),E18,""),IF(B18="B",IF(ISNUMBER(D18),D18,""),""))</f>
        <v/>
      </c>
    </row>
    <row r="19" customFormat="false" ht="15" hidden="false" customHeight="false" outlineLevel="0" collapsed="false">
      <c r="A19" s="8" t="s">
        <v>123</v>
      </c>
      <c r="B19" s="8" t="s">
        <v>155</v>
      </c>
      <c r="C19" s="8"/>
      <c r="D19" s="8"/>
      <c r="E19" s="8"/>
      <c r="F19" s="8"/>
      <c r="G19" s="24" t="str">
        <f aca="false">IF(C19="","",IF(C19=B19,1,0))</f>
        <v/>
      </c>
      <c r="H19" s="24" t="str">
        <f aca="false">IF(B19="A",IF(ISNUMBER(D19),D19,""),IF(B19="B",IF(ISNUMBER(E19),E19,""),""))</f>
        <v/>
      </c>
      <c r="I19" s="24" t="str">
        <f aca="false">IF(B19="A",IF(ISNUMBER(E19),E19,""),IF(B19="B",IF(ISNUMBER(D19),D19,""),""))</f>
        <v/>
      </c>
    </row>
    <row r="20" customFormat="false" ht="15" hidden="false" customHeight="false" outlineLevel="0" collapsed="false">
      <c r="A20" s="8" t="s">
        <v>124</v>
      </c>
      <c r="B20" s="8" t="s">
        <v>155</v>
      </c>
      <c r="C20" s="8"/>
      <c r="D20" s="8"/>
      <c r="E20" s="8"/>
      <c r="F20" s="8"/>
      <c r="G20" s="24" t="str">
        <f aca="false">IF(C20="","",IF(C20=B20,1,0))</f>
        <v/>
      </c>
      <c r="H20" s="24" t="str">
        <f aca="false">IF(B20="A",IF(ISNUMBER(D20),D20,""),IF(B20="B",IF(ISNUMBER(E20),E20,""),""))</f>
        <v/>
      </c>
      <c r="I20" s="24" t="str">
        <f aca="false">IF(B20="A",IF(ISNUMBER(E20),E20,""),IF(B20="B",IF(ISNUMBER(D20),D20,""),""))</f>
        <v/>
      </c>
    </row>
    <row r="21" customFormat="false" ht="15" hidden="false" customHeight="false" outlineLevel="0" collapsed="false">
      <c r="A21" s="8" t="s">
        <v>125</v>
      </c>
      <c r="B21" s="8" t="s">
        <v>141</v>
      </c>
      <c r="C21" s="8"/>
      <c r="D21" s="8"/>
      <c r="E21" s="8"/>
      <c r="F21" s="8"/>
      <c r="G21" s="24" t="str">
        <f aca="false">IF(C21="","",IF(C21=B21,1,0))</f>
        <v/>
      </c>
      <c r="H21" s="24" t="str">
        <f aca="false">IF(B21="A",IF(ISNUMBER(D21),D21,""),IF(B21="B",IF(ISNUMBER(E21),E21,""),""))</f>
        <v/>
      </c>
      <c r="I21" s="24" t="str">
        <f aca="false">IF(B21="A",IF(ISNUMBER(E21),E21,""),IF(B21="B",IF(ISNUMBER(D21),D21,""),""))</f>
        <v/>
      </c>
    </row>
    <row r="22" customFormat="false" ht="15" hidden="false" customHeight="false" outlineLevel="0" collapsed="false">
      <c r="A22" s="8" t="s">
        <v>126</v>
      </c>
      <c r="B22" s="8" t="s">
        <v>155</v>
      </c>
      <c r="C22" s="8"/>
      <c r="D22" s="8"/>
      <c r="E22" s="8"/>
      <c r="F22" s="8"/>
      <c r="G22" s="24" t="str">
        <f aca="false">IF(C22="","",IF(C22=B22,1,0))</f>
        <v/>
      </c>
      <c r="H22" s="24" t="str">
        <f aca="false">IF(B22="A",IF(ISNUMBER(D22),D22,""),IF(B22="B",IF(ISNUMBER(E22),E22,""),""))</f>
        <v/>
      </c>
      <c r="I22" s="24" t="str">
        <f aca="false">IF(B22="A",IF(ISNUMBER(E22),E22,""),IF(B22="B",IF(ISNUMBER(D22),D22,""),""))</f>
        <v/>
      </c>
    </row>
    <row r="23" customFormat="false" ht="15" hidden="false" customHeight="false" outlineLevel="0" collapsed="false">
      <c r="A23" s="8" t="s">
        <v>127</v>
      </c>
      <c r="B23" s="8" t="s">
        <v>155</v>
      </c>
      <c r="C23" s="8"/>
      <c r="D23" s="8"/>
      <c r="E23" s="8"/>
      <c r="F23" s="8"/>
      <c r="G23" s="24" t="str">
        <f aca="false">IF(C23="","",IF(C23=B23,1,0))</f>
        <v/>
      </c>
      <c r="H23" s="24" t="str">
        <f aca="false">IF(B23="A",IF(ISNUMBER(D23),D23,""),IF(B23="B",IF(ISNUMBER(E23),E23,""),""))</f>
        <v/>
      </c>
      <c r="I23" s="24" t="str">
        <f aca="false">IF(B23="A",IF(ISNUMBER(E23),E23,""),IF(B23="B",IF(ISNUMBER(D23),D23,""),""))</f>
        <v/>
      </c>
    </row>
    <row r="24" customFormat="false" ht="15" hidden="false" customHeight="false" outlineLevel="0" collapsed="false">
      <c r="A24" s="8" t="s">
        <v>128</v>
      </c>
      <c r="B24" s="8" t="s">
        <v>141</v>
      </c>
      <c r="C24" s="8"/>
      <c r="D24" s="8"/>
      <c r="E24" s="8"/>
      <c r="F24" s="8"/>
      <c r="G24" s="24" t="str">
        <f aca="false">IF(C24="","",IF(C24=B24,1,0))</f>
        <v/>
      </c>
      <c r="H24" s="24" t="str">
        <f aca="false">IF(B24="A",IF(ISNUMBER(D24),D24,""),IF(B24="B",IF(ISNUMBER(E24),E24,""),""))</f>
        <v/>
      </c>
      <c r="I24" s="24" t="str">
        <f aca="false">IF(B24="A",IF(ISNUMBER(E24),E24,""),IF(B24="B",IF(ISNUMBER(D24),D24,""),""))</f>
        <v/>
      </c>
    </row>
    <row r="25" customFormat="false" ht="15" hidden="false" customHeight="false" outlineLevel="0" collapsed="false">
      <c r="A25" s="8" t="s">
        <v>129</v>
      </c>
      <c r="B25" s="8" t="s">
        <v>141</v>
      </c>
      <c r="C25" s="8"/>
      <c r="D25" s="8"/>
      <c r="E25" s="8"/>
      <c r="F25" s="8"/>
      <c r="G25" s="24" t="str">
        <f aca="false">IF(C25="","",IF(C25=B25,1,0))</f>
        <v/>
      </c>
      <c r="H25" s="24" t="str">
        <f aca="false">IF(B25="A",IF(ISNUMBER(D25),D25,""),IF(B25="B",IF(ISNUMBER(E25),E25,""),""))</f>
        <v/>
      </c>
      <c r="I25" s="24" t="str">
        <f aca="false">IF(B25="A",IF(ISNUMBER(E25),E25,""),IF(B25="B",IF(ISNUMBER(D25),D25,""),""))</f>
        <v/>
      </c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24" t="str">
        <f aca="false">IF(C26="","",IF(C26=B26,1,0))</f>
        <v/>
      </c>
      <c r="H26" s="24" t="str">
        <f aca="false">IF(B26="A",IF(ISNUMBER(D26),D26,""),IF(B26="B",IF(ISNUMBER(E26),E26,""),""))</f>
        <v/>
      </c>
      <c r="I26" s="24" t="str">
        <f aca="false">IF(B26="A",IF(ISNUMBER(E26),E26,""),IF(B26="B",IF(ISNUMBER(D26),D26,""),""))</f>
        <v/>
      </c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24" t="str">
        <f aca="false">IF(C27="","",IF(C27=B27,1,0))</f>
        <v/>
      </c>
      <c r="H27" s="24" t="str">
        <f aca="false">IF(B27="A",IF(ISNUMBER(D27),D27,""),IF(B27="B",IF(ISNUMBER(E27),E27,""),""))</f>
        <v/>
      </c>
      <c r="I27" s="24" t="str">
        <f aca="false">IF(B27="A",IF(ISNUMBER(E27),E27,""),IF(B27="B",IF(ISNUMBER(D27),D27,""),""))</f>
        <v/>
      </c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24" t="str">
        <f aca="false">IF(C28="","",IF(C28=B28,1,0))</f>
        <v/>
      </c>
      <c r="H28" s="24" t="str">
        <f aca="false">IF(B28="A",IF(ISNUMBER(D28),D28,""),IF(B28="B",IF(ISNUMBER(E28),E28,""),""))</f>
        <v/>
      </c>
      <c r="I28" s="24" t="str">
        <f aca="false">IF(B28="A",IF(ISNUMBER(E28),E28,""),IF(B28="B",IF(ISNUMBER(D28),D28,""),""))</f>
        <v/>
      </c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24" t="str">
        <f aca="false">IF(C29="","",IF(C29=B29,1,0))</f>
        <v/>
      </c>
      <c r="H29" s="24" t="str">
        <f aca="false">IF(B29="A",IF(ISNUMBER(D29),D29,""),IF(B29="B",IF(ISNUMBER(E29),E29,""),""))</f>
        <v/>
      </c>
      <c r="I29" s="24" t="str">
        <f aca="false">IF(B29="A",IF(ISNUMBER(E29),E29,""),IF(B29="B",IF(ISNUMBER(D29),D29,""),""))</f>
        <v/>
      </c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24" t="str">
        <f aca="false">IF(C30="","",IF(C30=B30,1,0))</f>
        <v/>
      </c>
      <c r="H30" s="24" t="str">
        <f aca="false">IF(B30="A",IF(ISNUMBER(D30),D30,""),IF(B30="B",IF(ISNUMBER(E30),E30,""),""))</f>
        <v/>
      </c>
      <c r="I30" s="24" t="str">
        <f aca="false">IF(B30="A",IF(ISNUMBER(E30),E30,""),IF(B30="B",IF(ISNUMBER(D30),D30,""),""))</f>
        <v/>
      </c>
    </row>
    <row r="31" customFormat="false" ht="15" hidden="false" customHeight="false" outlineLevel="0" collapsed="false">
      <c r="A31" s="8"/>
      <c r="B31" s="8"/>
      <c r="C31" s="8"/>
      <c r="D31" s="8"/>
      <c r="E31" s="8"/>
      <c r="F31" s="8"/>
      <c r="G31" s="24" t="str">
        <f aca="false">IF(C31="","",IF(C31=B31,1,0))</f>
        <v/>
      </c>
      <c r="H31" s="24" t="str">
        <f aca="false">IF(B31="A",IF(ISNUMBER(D31),D31,""),IF(B31="B",IF(ISNUMBER(E31),E31,""),""))</f>
        <v/>
      </c>
      <c r="I31" s="24" t="str">
        <f aca="false">IF(B31="A",IF(ISNUMBER(E31),E31,""),IF(B31="B",IF(ISNUMBER(D31),D31,""),""))</f>
        <v/>
      </c>
    </row>
    <row r="32" customFormat="false" ht="15" hidden="false" customHeight="false" outlineLevel="0" collapsed="false">
      <c r="A32" s="8"/>
      <c r="B32" s="8"/>
      <c r="C32" s="8"/>
      <c r="D32" s="8"/>
      <c r="E32" s="8"/>
      <c r="F32" s="8"/>
      <c r="G32" s="24" t="str">
        <f aca="false">IF(C32="","",IF(C32=B32,1,0))</f>
        <v/>
      </c>
      <c r="H32" s="24" t="str">
        <f aca="false">IF(B32="A",IF(ISNUMBER(D32),D32,""),IF(B32="B",IF(ISNUMBER(E32),E32,""),""))</f>
        <v/>
      </c>
      <c r="I32" s="24" t="str">
        <f aca="false">IF(B32="A",IF(ISNUMBER(E32),E32,""),IF(B32="B",IF(ISNUMBER(D32),D32,""),""))</f>
        <v/>
      </c>
    </row>
    <row r="33" customFormat="false" ht="15" hidden="false" customHeight="false" outlineLevel="0" collapsed="false">
      <c r="A33" s="8"/>
      <c r="B33" s="8"/>
      <c r="C33" s="8"/>
      <c r="D33" s="8"/>
      <c r="E33" s="8"/>
      <c r="F33" s="8"/>
      <c r="G33" s="24" t="str">
        <f aca="false">IF(C33="","",IF(C33=B33,1,0))</f>
        <v/>
      </c>
      <c r="H33" s="24" t="str">
        <f aca="false">IF(B33="A",IF(ISNUMBER(D33),D33,""),IF(B33="B",IF(ISNUMBER(E33),E33,""),""))</f>
        <v/>
      </c>
      <c r="I33" s="24" t="str">
        <f aca="false">IF(B33="A",IF(ISNUMBER(E33),E33,""),IF(B33="B",IF(ISNUMBER(D33),D33,""),""))</f>
        <v/>
      </c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24" t="str">
        <f aca="false">IF(C34="","",IF(C34=B34,1,0))</f>
        <v/>
      </c>
      <c r="H34" s="24" t="str">
        <f aca="false">IF(B34="A",IF(ISNUMBER(D34),D34,""),IF(B34="B",IF(ISNUMBER(E34),E34,""),""))</f>
        <v/>
      </c>
      <c r="I34" s="24" t="str">
        <f aca="false">IF(B34="A",IF(ISNUMBER(E34),E34,""),IF(B34="B",IF(ISNUMBER(D34),D34,""),""))</f>
        <v/>
      </c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24" t="str">
        <f aca="false">IF(C35="","",IF(C35=B35,1,0))</f>
        <v/>
      </c>
      <c r="H35" s="24" t="str">
        <f aca="false">IF(B35="A",IF(ISNUMBER(D35),D35,""),IF(B35="B",IF(ISNUMBER(E35),E35,""),""))</f>
        <v/>
      </c>
      <c r="I35" s="24" t="str">
        <f aca="false">IF(B35="A",IF(ISNUMBER(E35),E35,""),IF(B35="B",IF(ISNUMBER(D35),D35,""),""))</f>
        <v/>
      </c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24" t="str">
        <f aca="false">IF(C36="","",IF(C36=B36,1,0))</f>
        <v/>
      </c>
      <c r="H36" s="24" t="str">
        <f aca="false">IF(B36="A",IF(ISNUMBER(D36),D36,""),IF(B36="B",IF(ISNUMBER(E36),E36,""),""))</f>
        <v/>
      </c>
      <c r="I36" s="24" t="str">
        <f aca="false">IF(B36="A",IF(ISNUMBER(E36),E36,""),IF(B36="B",IF(ISNUMBER(D36),D36,""),""))</f>
        <v/>
      </c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24" t="str">
        <f aca="false">IF(C37="","",IF(C37=B37,1,0))</f>
        <v/>
      </c>
      <c r="H37" s="24" t="str">
        <f aca="false">IF(B37="A",IF(ISNUMBER(D37),D37,""),IF(B37="B",IF(ISNUMBER(E37),E37,""),""))</f>
        <v/>
      </c>
      <c r="I37" s="24" t="str">
        <f aca="false">IF(B37="A",IF(ISNUMBER(E37),E37,""),IF(B37="B",IF(ISNUMBER(D37),D37,""),""))</f>
        <v/>
      </c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24" t="str">
        <f aca="false">IF(C38="","",IF(C38=B38,1,0))</f>
        <v/>
      </c>
      <c r="H38" s="24" t="str">
        <f aca="false">IF(B38="A",IF(ISNUMBER(D38),D38,""),IF(B38="B",IF(ISNUMBER(E38),E38,""),""))</f>
        <v/>
      </c>
      <c r="I38" s="24" t="str">
        <f aca="false">IF(B38="A",IF(ISNUMBER(E38),E38,""),IF(B38="B",IF(ISNUMBER(D38),D38,""),""))</f>
        <v/>
      </c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24" t="str">
        <f aca="false">IF(C39="","",IF(C39=B39,1,0))</f>
        <v/>
      </c>
      <c r="H39" s="24" t="str">
        <f aca="false">IF(B39="A",IF(ISNUMBER(D39),D39,""),IF(B39="B",IF(ISNUMBER(E39),E39,""),""))</f>
        <v/>
      </c>
      <c r="I39" s="24" t="str">
        <f aca="false">IF(B39="A",IF(ISNUMBER(E39),E39,""),IF(B39="B",IF(ISNUMBER(D39),D39,""),""))</f>
        <v/>
      </c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24" t="str">
        <f aca="false">IF(C40="","",IF(C40=B40,1,0))</f>
        <v/>
      </c>
      <c r="H40" s="24" t="str">
        <f aca="false">IF(B40="A",IF(ISNUMBER(D40),D40,""),IF(B40="B",IF(ISNUMBER(E40),E40,""),""))</f>
        <v/>
      </c>
      <c r="I40" s="24" t="str">
        <f aca="false">IF(B40="A",IF(ISNUMBER(E40),E40,""),IF(B40="B",IF(ISNUMBER(D40),D40,""),""))</f>
        <v/>
      </c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24" t="str">
        <f aca="false">IF(C41="","",IF(C41=B41,1,0))</f>
        <v/>
      </c>
      <c r="H41" s="24" t="str">
        <f aca="false">IF(B41="A",IF(ISNUMBER(D41),D41,""),IF(B41="B",IF(ISNUMBER(E41),E41,""),""))</f>
        <v/>
      </c>
      <c r="I41" s="24" t="str">
        <f aca="false">IF(B41="A",IF(ISNUMBER(E41),E41,""),IF(B41="B",IF(ISNUMBER(D41),D41,""),""))</f>
        <v/>
      </c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24" t="str">
        <f aca="false">IF(C42="","",IF(C42=B42,1,0))</f>
        <v/>
      </c>
      <c r="H42" s="24" t="str">
        <f aca="false">IF(B42="A",IF(ISNUMBER(D42),D42,""),IF(B42="B",IF(ISNUMBER(E42),E42,""),""))</f>
        <v/>
      </c>
      <c r="I42" s="24" t="str">
        <f aca="false">IF(B42="A",IF(ISNUMBER(E42),E42,""),IF(B42="B",IF(ISNUMBER(D42),D42,""),""))</f>
        <v/>
      </c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24" t="str">
        <f aca="false">IF(C43="","",IF(C43=B43,1,0))</f>
        <v/>
      </c>
      <c r="H43" s="24" t="str">
        <f aca="false">IF(B43="A",IF(ISNUMBER(D43),D43,""),IF(B43="B",IF(ISNUMBER(E43),E43,""),""))</f>
        <v/>
      </c>
      <c r="I43" s="24" t="str">
        <f aca="false">IF(B43="A",IF(ISNUMBER(E43),E43,""),IF(B43="B",IF(ISNUMBER(D43),D43,""),""))</f>
        <v/>
      </c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24" t="str">
        <f aca="false">IF(C44="","",IF(C44=B44,1,0))</f>
        <v/>
      </c>
      <c r="H44" s="24" t="str">
        <f aca="false">IF(B44="A",IF(ISNUMBER(D44),D44,""),IF(B44="B",IF(ISNUMBER(E44),E44,""),""))</f>
        <v/>
      </c>
      <c r="I44" s="24" t="str">
        <f aca="false">IF(B44="A",IF(ISNUMBER(E44),E44,""),IF(B44="B",IF(ISNUMBER(D44),D44,""),""))</f>
        <v/>
      </c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24" t="str">
        <f aca="false">IF(C45="","",IF(C45=B45,1,0))</f>
        <v/>
      </c>
      <c r="H45" s="24" t="str">
        <f aca="false">IF(B45="A",IF(ISNUMBER(D45),D45,""),IF(B45="B",IF(ISNUMBER(E45),E45,""),""))</f>
        <v/>
      </c>
      <c r="I45" s="24" t="str">
        <f aca="false">IF(B45="A",IF(ISNUMBER(E45),E45,""),IF(B45="B",IF(ISNUMBER(D45),D45,""),""))</f>
        <v/>
      </c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24" t="str">
        <f aca="false">IF(C46="","",IF(C46=B46,1,0))</f>
        <v/>
      </c>
      <c r="H46" s="24" t="str">
        <f aca="false">IF(B46="A",IF(ISNUMBER(D46),D46,""),IF(B46="B",IF(ISNUMBER(E46),E46,""),""))</f>
        <v/>
      </c>
      <c r="I46" s="24" t="str">
        <f aca="false">IF(B46="A",IF(ISNUMBER(E46),E46,""),IF(B46="B",IF(ISNUMBER(D46),D46,""),""))</f>
        <v/>
      </c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24" t="str">
        <f aca="false">IF(C47="","",IF(C47=B47,1,0))</f>
        <v/>
      </c>
      <c r="H47" s="24" t="str">
        <f aca="false">IF(B47="A",IF(ISNUMBER(D47),D47,""),IF(B47="B",IF(ISNUMBER(E47),E47,""),""))</f>
        <v/>
      </c>
      <c r="I47" s="24" t="str">
        <f aca="false">IF(B47="A",IF(ISNUMBER(E47),E47,""),IF(B47="B",IF(ISNUMBER(D47),D47,""),""))</f>
        <v/>
      </c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24" t="str">
        <f aca="false">IF(C48="","",IF(C48=B48,1,0))</f>
        <v/>
      </c>
      <c r="H48" s="24" t="str">
        <f aca="false">IF(B48="A",IF(ISNUMBER(D48),D48,""),IF(B48="B",IF(ISNUMBER(E48),E48,""),""))</f>
        <v/>
      </c>
      <c r="I48" s="24" t="str">
        <f aca="false">IF(B48="A",IF(ISNUMBER(E48),E48,""),IF(B48="B",IF(ISNUMBER(D48),D48,""),""))</f>
        <v/>
      </c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24" t="str">
        <f aca="false">IF(C49="","",IF(C49=B49,1,0))</f>
        <v/>
      </c>
      <c r="H49" s="24" t="str">
        <f aca="false">IF(B49="A",IF(ISNUMBER(D49),D49,""),IF(B49="B",IF(ISNUMBER(E49),E49,""),""))</f>
        <v/>
      </c>
      <c r="I49" s="24" t="str">
        <f aca="false">IF(B49="A",IF(ISNUMBER(E49),E49,""),IF(B49="B",IF(ISNUMBER(D49),D49,""),""))</f>
        <v/>
      </c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24" t="str">
        <f aca="false">IF(C50="","",IF(C50=B50,1,0))</f>
        <v/>
      </c>
      <c r="H50" s="24" t="str">
        <f aca="false">IF(B50="A",IF(ISNUMBER(D50),D50,""),IF(B50="B",IF(ISNUMBER(E50),E50,""),""))</f>
        <v/>
      </c>
      <c r="I50" s="24" t="str">
        <f aca="false">IF(B50="A",IF(ISNUMBER(E50),E50,""),IF(B50="B",IF(ISNUMBER(D50),D50,""),""))</f>
        <v/>
      </c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24" t="str">
        <f aca="false">IF(C51="","",IF(C51=B51,1,0))</f>
        <v/>
      </c>
      <c r="H51" s="24" t="str">
        <f aca="false">IF(B51="A",IF(ISNUMBER(D51),D51,""),IF(B51="B",IF(ISNUMBER(E51),E51,""),""))</f>
        <v/>
      </c>
      <c r="I51" s="24" t="str">
        <f aca="false">IF(B51="A",IF(ISNUMBER(E51),E51,""),IF(B51="B",IF(ISNUMBER(D51),D51,""),""))</f>
        <v/>
      </c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24" t="str">
        <f aca="false">IF(C52="","",IF(C52=B52,1,0))</f>
        <v/>
      </c>
      <c r="H52" s="24" t="str">
        <f aca="false">IF(B52="A",IF(ISNUMBER(D52),D52,""),IF(B52="B",IF(ISNUMBER(E52),E52,""),""))</f>
        <v/>
      </c>
      <c r="I52" s="24" t="str">
        <f aca="false">IF(B52="A",IF(ISNUMBER(E52),E52,""),IF(B52="B",IF(ISNUMBER(D52),D52,""),""))</f>
        <v/>
      </c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24" t="str">
        <f aca="false">IF(C53="","",IF(C53=B53,1,0))</f>
        <v/>
      </c>
      <c r="H53" s="24" t="str">
        <f aca="false">IF(B53="A",IF(ISNUMBER(D53),D53,""),IF(B53="B",IF(ISNUMBER(E53),E53,""),""))</f>
        <v/>
      </c>
      <c r="I53" s="24" t="str">
        <f aca="false">IF(B53="A",IF(ISNUMBER(E53),E53,""),IF(B53="B",IF(ISNUMBER(D53),D53,""),""))</f>
        <v/>
      </c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24" t="str">
        <f aca="false">IF(C54="","",IF(C54=B54,1,0))</f>
        <v/>
      </c>
      <c r="H54" s="24" t="str">
        <f aca="false">IF(B54="A",IF(ISNUMBER(D54),D54,""),IF(B54="B",IF(ISNUMBER(E54),E54,""),""))</f>
        <v/>
      </c>
      <c r="I54" s="24" t="str">
        <f aca="false">IF(B54="A",IF(ISNUMBER(E54),E54,""),IF(B54="B",IF(ISNUMBER(D54),D54,""),""))</f>
        <v/>
      </c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24" t="str">
        <f aca="false">IF(C55="","",IF(C55=B55,1,0))</f>
        <v/>
      </c>
      <c r="H55" s="24" t="str">
        <f aca="false">IF(B55="A",IF(ISNUMBER(D55),D55,""),IF(B55="B",IF(ISNUMBER(E55),E55,""),""))</f>
        <v/>
      </c>
      <c r="I55" s="24" t="str">
        <f aca="false">IF(B55="A",IF(ISNUMBER(E55),E55,""),IF(B55="B",IF(ISNUMBER(D55),D55,""),""))</f>
        <v/>
      </c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24" t="str">
        <f aca="false">IF(C56="","",IF(C56=B56,1,0))</f>
        <v/>
      </c>
      <c r="H56" s="24" t="str">
        <f aca="false">IF(B56="A",IF(ISNUMBER(D56),D56,""),IF(B56="B",IF(ISNUMBER(E56),E56,""),""))</f>
        <v/>
      </c>
      <c r="I56" s="24" t="str">
        <f aca="false">IF(B56="A",IF(ISNUMBER(E56),E56,""),IF(B56="B",IF(ISNUMBER(D56),D56,""),""))</f>
        <v/>
      </c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24" t="str">
        <f aca="false">IF(C57="","",IF(C57=B57,1,0))</f>
        <v/>
      </c>
      <c r="H57" s="24" t="str">
        <f aca="false">IF(B57="A",IF(ISNUMBER(D57),D57,""),IF(B57="B",IF(ISNUMBER(E57),E57,""),""))</f>
        <v/>
      </c>
      <c r="I57" s="24" t="str">
        <f aca="false">IF(B57="A",IF(ISNUMBER(E57),E57,""),IF(B57="B",IF(ISNUMBER(D57),D57,""),""))</f>
        <v/>
      </c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24" t="str">
        <f aca="false">IF(C58="","",IF(C58=B58,1,0))</f>
        <v/>
      </c>
      <c r="H58" s="24" t="str">
        <f aca="false">IF(B58="A",IF(ISNUMBER(D58),D58,""),IF(B58="B",IF(ISNUMBER(E58),E58,""),""))</f>
        <v/>
      </c>
      <c r="I58" s="24" t="str">
        <f aca="false">IF(B58="A",IF(ISNUMBER(E58),E58,""),IF(B58="B",IF(ISNUMBER(D58),D58,""),""))</f>
        <v/>
      </c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24" t="str">
        <f aca="false">IF(C59="","",IF(C59=B59,1,0))</f>
        <v/>
      </c>
      <c r="H59" s="24" t="str">
        <f aca="false">IF(B59="A",IF(ISNUMBER(D59),D59,""),IF(B59="B",IF(ISNUMBER(E59),E59,""),""))</f>
        <v/>
      </c>
      <c r="I59" s="24" t="str">
        <f aca="false">IF(B59="A",IF(ISNUMBER(E59),E59,""),IF(B59="B",IF(ISNUMBER(D59),D59,""),""))</f>
        <v/>
      </c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24" t="str">
        <f aca="false">IF(C60="","",IF(C60=B60,1,0))</f>
        <v/>
      </c>
      <c r="H60" s="24" t="str">
        <f aca="false">IF(B60="A",IF(ISNUMBER(D60),D60,""),IF(B60="B",IF(ISNUMBER(E60),E60,""),""))</f>
        <v/>
      </c>
      <c r="I60" s="24" t="str">
        <f aca="false">IF(B60="A",IF(ISNUMBER(E60),E60,""),IF(B60="B",IF(ISNUMBER(D60),D60,""),""))</f>
        <v/>
      </c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24" t="str">
        <f aca="false">IF(C61="","",IF(C61=B61,1,0))</f>
        <v/>
      </c>
      <c r="H61" s="24" t="str">
        <f aca="false">IF(B61="A",IF(ISNUMBER(D61),D61,""),IF(B61="B",IF(ISNUMBER(E61),E61,""),""))</f>
        <v/>
      </c>
      <c r="I61" s="24" t="str">
        <f aca="false">IF(B61="A",IF(ISNUMBER(E61),E61,""),IF(B61="B",IF(ISNUMBER(D61),D61,""),""))</f>
        <v/>
      </c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24" t="str">
        <f aca="false">IF(C62="","",IF(C62=B62,1,0))</f>
        <v/>
      </c>
      <c r="H62" s="24" t="str">
        <f aca="false">IF(B62="A",IF(ISNUMBER(D62),D62,""),IF(B62="B",IF(ISNUMBER(E62),E62,""),""))</f>
        <v/>
      </c>
      <c r="I62" s="24" t="str">
        <f aca="false">IF(B62="A",IF(ISNUMBER(E62),E62,""),IF(B62="B",IF(ISNUMBER(D62),D62,""),""))</f>
        <v/>
      </c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24" t="str">
        <f aca="false">IF(C63="","",IF(C63=B63,1,0))</f>
        <v/>
      </c>
      <c r="H63" s="24" t="str">
        <f aca="false">IF(B63="A",IF(ISNUMBER(D63),D63,""),IF(B63="B",IF(ISNUMBER(E63),E63,""),""))</f>
        <v/>
      </c>
      <c r="I63" s="24" t="str">
        <f aca="false">IF(B63="A",IF(ISNUMBER(E63),E63,""),IF(B63="B",IF(ISNUMBER(D63),D63,""),""))</f>
        <v/>
      </c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24" t="str">
        <f aca="false">IF(C64="","",IF(C64=B64,1,0))</f>
        <v/>
      </c>
      <c r="H64" s="24" t="str">
        <f aca="false">IF(B64="A",IF(ISNUMBER(D64),D64,""),IF(B64="B",IF(ISNUMBER(E64),E64,""),""))</f>
        <v/>
      </c>
      <c r="I64" s="24" t="str">
        <f aca="false">IF(B64="A",IF(ISNUMBER(E64),E64,""),IF(B64="B",IF(ISNUMBER(D64),D64,""),""))</f>
        <v/>
      </c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24" t="str">
        <f aca="false">IF(C65="","",IF(C65=B65,1,0))</f>
        <v/>
      </c>
      <c r="H65" s="24" t="str">
        <f aca="false">IF(B65="A",IF(ISNUMBER(D65),D65,""),IF(B65="B",IF(ISNUMBER(E65),E65,""),""))</f>
        <v/>
      </c>
      <c r="I65" s="24" t="str">
        <f aca="false">IF(B65="A",IF(ISNUMBER(E65),E65,""),IF(B65="B",IF(ISNUMBER(D65),D65,""),""))</f>
        <v/>
      </c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24" t="str">
        <f aca="false">IF(C66="","",IF(C66=B66,1,0))</f>
        <v/>
      </c>
      <c r="H66" s="24" t="str">
        <f aca="false">IF(B66="A",IF(ISNUMBER(D66),D66,""),IF(B66="B",IF(ISNUMBER(E66),E66,""),""))</f>
        <v/>
      </c>
      <c r="I66" s="24" t="str">
        <f aca="false">IF(B66="A",IF(ISNUMBER(E66),E66,""),IF(B66="B",IF(ISNUMBER(D66),D66,""),""))</f>
        <v/>
      </c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24" t="str">
        <f aca="false">IF(C67="","",IF(C67=B67,1,0))</f>
        <v/>
      </c>
      <c r="H67" s="24" t="str">
        <f aca="false">IF(B67="A",IF(ISNUMBER(D67),D67,""),IF(B67="B",IF(ISNUMBER(E67),E67,""),""))</f>
        <v/>
      </c>
      <c r="I67" s="24" t="str">
        <f aca="false">IF(B67="A",IF(ISNUMBER(E67),E67,""),IF(B67="B",IF(ISNUMBER(D67),D67,""),""))</f>
        <v/>
      </c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24" t="str">
        <f aca="false">IF(C68="","",IF(C68=B68,1,0))</f>
        <v/>
      </c>
      <c r="H68" s="24" t="str">
        <f aca="false">IF(B68="A",IF(ISNUMBER(D68),D68,""),IF(B68="B",IF(ISNUMBER(E68),E68,""),""))</f>
        <v/>
      </c>
      <c r="I68" s="24" t="str">
        <f aca="false">IF(B68="A",IF(ISNUMBER(E68),E68,""),IF(B68="B",IF(ISNUMBER(D68),D68,""),""))</f>
        <v/>
      </c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24" t="str">
        <f aca="false">IF(C69="","",IF(C69=B69,1,0))</f>
        <v/>
      </c>
      <c r="H69" s="24" t="str">
        <f aca="false">IF(B69="A",IF(ISNUMBER(D69),D69,""),IF(B69="B",IF(ISNUMBER(E69),E69,""),""))</f>
        <v/>
      </c>
      <c r="I69" s="24" t="str">
        <f aca="false">IF(B69="A",IF(ISNUMBER(E69),E69,""),IF(B69="B",IF(ISNUMBER(D69),D69,""),""))</f>
        <v/>
      </c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24" t="str">
        <f aca="false">IF(C70="","",IF(C70=B70,1,0))</f>
        <v/>
      </c>
      <c r="H70" s="24" t="str">
        <f aca="false">IF(B70="A",IF(ISNUMBER(D70),D70,""),IF(B70="B",IF(ISNUMBER(E70),E70,""),""))</f>
        <v/>
      </c>
      <c r="I70" s="24" t="str">
        <f aca="false">IF(B70="A",IF(ISNUMBER(E70),E70,""),IF(B70="B",IF(ISNUMBER(D70),D70,""),""))</f>
        <v/>
      </c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24" t="str">
        <f aca="false">IF(C71="","",IF(C71=B71,1,0))</f>
        <v/>
      </c>
      <c r="H71" s="24" t="str">
        <f aca="false">IF(B71="A",IF(ISNUMBER(D71),D71,""),IF(B71="B",IF(ISNUMBER(E71),E71,""),""))</f>
        <v/>
      </c>
      <c r="I71" s="24" t="str">
        <f aca="false">IF(B71="A",IF(ISNUMBER(E71),E71,""),IF(B71="B",IF(ISNUMBER(D71),D71,""),""))</f>
        <v/>
      </c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24" t="str">
        <f aca="false">IF(C72="","",IF(C72=B72,1,0))</f>
        <v/>
      </c>
      <c r="H72" s="24" t="str">
        <f aca="false">IF(B72="A",IF(ISNUMBER(D72),D72,""),IF(B72="B",IF(ISNUMBER(E72),E72,""),""))</f>
        <v/>
      </c>
      <c r="I72" s="24" t="str">
        <f aca="false">IF(B72="A",IF(ISNUMBER(E72),E72,""),IF(B72="B",IF(ISNUMBER(D72),D72,""),""))</f>
        <v/>
      </c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24" t="str">
        <f aca="false">IF(C73="","",IF(C73=B73,1,0))</f>
        <v/>
      </c>
      <c r="H73" s="24" t="str">
        <f aca="false">IF(B73="A",IF(ISNUMBER(D73),D73,""),IF(B73="B",IF(ISNUMBER(E73),E73,""),""))</f>
        <v/>
      </c>
      <c r="I73" s="24" t="str">
        <f aca="false">IF(B73="A",IF(ISNUMBER(E73),E73,""),IF(B73="B",IF(ISNUMBER(D73),D73,""),""))</f>
        <v/>
      </c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24" t="str">
        <f aca="false">IF(C74="","",IF(C74=B74,1,0))</f>
        <v/>
      </c>
      <c r="H74" s="24" t="str">
        <f aca="false">IF(B74="A",IF(ISNUMBER(D74),D74,""),IF(B74="B",IF(ISNUMBER(E74),E74,""),""))</f>
        <v/>
      </c>
      <c r="I74" s="24" t="str">
        <f aca="false">IF(B74="A",IF(ISNUMBER(E74),E74,""),IF(B74="B",IF(ISNUMBER(D74),D74,""),""))</f>
        <v/>
      </c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24" t="str">
        <f aca="false">IF(C75="","",IF(C75=B75,1,0))</f>
        <v/>
      </c>
      <c r="H75" s="24" t="str">
        <f aca="false">IF(B75="A",IF(ISNUMBER(D75),D75,""),IF(B75="B",IF(ISNUMBER(E75),E75,""),""))</f>
        <v/>
      </c>
      <c r="I75" s="24" t="str">
        <f aca="false">IF(B75="A",IF(ISNUMBER(E75),E75,""),IF(B75="B",IF(ISNUMBER(D75),D75,""),""))</f>
        <v/>
      </c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24" t="str">
        <f aca="false">IF(C76="","",IF(C76=B76,1,0))</f>
        <v/>
      </c>
      <c r="H76" s="24" t="str">
        <f aca="false">IF(B76="A",IF(ISNUMBER(D76),D76,""),IF(B76="B",IF(ISNUMBER(E76),E76,""),""))</f>
        <v/>
      </c>
      <c r="I76" s="24" t="str">
        <f aca="false">IF(B76="A",IF(ISNUMBER(E76),E76,""),IF(B76="B",IF(ISNUMBER(D76),D76,""),""))</f>
        <v/>
      </c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24" t="str">
        <f aca="false">IF(C77="","",IF(C77=B77,1,0))</f>
        <v/>
      </c>
      <c r="H77" s="24" t="str">
        <f aca="false">IF(B77="A",IF(ISNUMBER(D77),D77,""),IF(B77="B",IF(ISNUMBER(E77),E77,""),""))</f>
        <v/>
      </c>
      <c r="I77" s="24" t="str">
        <f aca="false">IF(B77="A",IF(ISNUMBER(E77),E77,""),IF(B77="B",IF(ISNUMBER(D77),D77,""),""))</f>
        <v/>
      </c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24" t="str">
        <f aca="false">IF(C78="","",IF(C78=B78,1,0))</f>
        <v/>
      </c>
      <c r="H78" s="24" t="str">
        <f aca="false">IF(B78="A",IF(ISNUMBER(D78),D78,""),IF(B78="B",IF(ISNUMBER(E78),E78,""),""))</f>
        <v/>
      </c>
      <c r="I78" s="24" t="str">
        <f aca="false">IF(B78="A",IF(ISNUMBER(E78),E78,""),IF(B78="B",IF(ISNUMBER(D78),D78,""),""))</f>
        <v/>
      </c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24" t="str">
        <f aca="false">IF(C79="","",IF(C79=B79,1,0))</f>
        <v/>
      </c>
      <c r="H79" s="24" t="str">
        <f aca="false">IF(B79="A",IF(ISNUMBER(D79),D79,""),IF(B79="B",IF(ISNUMBER(E79),E79,""),""))</f>
        <v/>
      </c>
      <c r="I79" s="24" t="str">
        <f aca="false">IF(B79="A",IF(ISNUMBER(E79),E79,""),IF(B79="B",IF(ISNUMBER(D79),D79,""),""))</f>
        <v/>
      </c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24" t="str">
        <f aca="false">IF(C80="","",IF(C80=B80,1,0))</f>
        <v/>
      </c>
      <c r="H80" s="24" t="str">
        <f aca="false">IF(B80="A",IF(ISNUMBER(D80),D80,""),IF(B80="B",IF(ISNUMBER(E80),E80,""),""))</f>
        <v/>
      </c>
      <c r="I80" s="24" t="str">
        <f aca="false">IF(B80="A",IF(ISNUMBER(E80),E80,""),IF(B80="B",IF(ISNUMBER(D80),D80,""),""))</f>
        <v/>
      </c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24" t="str">
        <f aca="false">IF(C81="","",IF(C81=B81,1,0))</f>
        <v/>
      </c>
      <c r="H81" s="24" t="str">
        <f aca="false">IF(B81="A",IF(ISNUMBER(D81),D81,""),IF(B81="B",IF(ISNUMBER(E81),E81,""),""))</f>
        <v/>
      </c>
      <c r="I81" s="24" t="str">
        <f aca="false">IF(B81="A",IF(ISNUMBER(E81),E81,""),IF(B81="B",IF(ISNUMBER(D81),D81,""),""))</f>
        <v/>
      </c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24" t="str">
        <f aca="false">IF(C82="","",IF(C82=B82,1,0))</f>
        <v/>
      </c>
      <c r="H82" s="24" t="str">
        <f aca="false">IF(B82="A",IF(ISNUMBER(D82),D82,""),IF(B82="B",IF(ISNUMBER(E82),E82,""),""))</f>
        <v/>
      </c>
      <c r="I82" s="24" t="str">
        <f aca="false">IF(B82="A",IF(ISNUMBER(E82),E82,""),IF(B82="B",IF(ISNUMBER(D82),D82,""),""))</f>
        <v/>
      </c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24" t="str">
        <f aca="false">IF(C83="","",IF(C83=B83,1,0))</f>
        <v/>
      </c>
      <c r="H83" s="24" t="str">
        <f aca="false">IF(B83="A",IF(ISNUMBER(D83),D83,""),IF(B83="B",IF(ISNUMBER(E83),E83,""),""))</f>
        <v/>
      </c>
      <c r="I83" s="24" t="str">
        <f aca="false">IF(B83="A",IF(ISNUMBER(E83),E83,""),IF(B83="B",IF(ISNUMBER(D83),D83,""),""))</f>
        <v/>
      </c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24" t="str">
        <f aca="false">IF(C84="","",IF(C84=B84,1,0))</f>
        <v/>
      </c>
      <c r="H84" s="24" t="str">
        <f aca="false">IF(B84="A",IF(ISNUMBER(D84),D84,""),IF(B84="B",IF(ISNUMBER(E84),E84,""),""))</f>
        <v/>
      </c>
      <c r="I84" s="24" t="str">
        <f aca="false">IF(B84="A",IF(ISNUMBER(E84),E84,""),IF(B84="B",IF(ISNUMBER(D84),D84,""),""))</f>
        <v/>
      </c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24" t="str">
        <f aca="false">IF(C85="","",IF(C85=B85,1,0))</f>
        <v/>
      </c>
      <c r="H85" s="24" t="str">
        <f aca="false">IF(B85="A",IF(ISNUMBER(D85),D85,""),IF(B85="B",IF(ISNUMBER(E85),E85,""),""))</f>
        <v/>
      </c>
      <c r="I85" s="24" t="str">
        <f aca="false">IF(B85="A",IF(ISNUMBER(E85),E85,""),IF(B85="B",IF(ISNUMBER(D85),D85,""),""))</f>
        <v/>
      </c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24" t="str">
        <f aca="false">IF(C86="","",IF(C86=B86,1,0))</f>
        <v/>
      </c>
      <c r="H86" s="24" t="str">
        <f aca="false">IF(B86="A",IF(ISNUMBER(D86),D86,""),IF(B86="B",IF(ISNUMBER(E86),E86,""),""))</f>
        <v/>
      </c>
      <c r="I86" s="24" t="str">
        <f aca="false">IF(B86="A",IF(ISNUMBER(E86),E86,""),IF(B86="B",IF(ISNUMBER(D86),D86,""),""))</f>
        <v/>
      </c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24" t="str">
        <f aca="false">IF(C87="","",IF(C87=B87,1,0))</f>
        <v/>
      </c>
      <c r="H87" s="24" t="str">
        <f aca="false">IF(B87="A",IF(ISNUMBER(D87),D87,""),IF(B87="B",IF(ISNUMBER(E87),E87,""),""))</f>
        <v/>
      </c>
      <c r="I87" s="24" t="str">
        <f aca="false">IF(B87="A",IF(ISNUMBER(E87),E87,""),IF(B87="B",IF(ISNUMBER(D87),D87,""),""))</f>
        <v/>
      </c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24" t="str">
        <f aca="false">IF(C88="","",IF(C88=B88,1,0))</f>
        <v/>
      </c>
      <c r="H88" s="24" t="str">
        <f aca="false">IF(B88="A",IF(ISNUMBER(D88),D88,""),IF(B88="B",IF(ISNUMBER(E88),E88,""),""))</f>
        <v/>
      </c>
      <c r="I88" s="24" t="str">
        <f aca="false">IF(B88="A",IF(ISNUMBER(E88),E88,""),IF(B88="B",IF(ISNUMBER(D88),D88,""),""))</f>
        <v/>
      </c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24" t="str">
        <f aca="false">IF(C89="","",IF(C89=B89,1,0))</f>
        <v/>
      </c>
      <c r="H89" s="24" t="str">
        <f aca="false">IF(B89="A",IF(ISNUMBER(D89),D89,""),IF(B89="B",IF(ISNUMBER(E89),E89,""),""))</f>
        <v/>
      </c>
      <c r="I89" s="24" t="str">
        <f aca="false">IF(B89="A",IF(ISNUMBER(E89),E89,""),IF(B89="B",IF(ISNUMBER(D89),D89,""),""))</f>
        <v/>
      </c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24" t="str">
        <f aca="false">IF(C90="","",IF(C90=B90,1,0))</f>
        <v/>
      </c>
      <c r="H90" s="24" t="str">
        <f aca="false">IF(B90="A",IF(ISNUMBER(D90),D90,""),IF(B90="B",IF(ISNUMBER(E90),E90,""),""))</f>
        <v/>
      </c>
      <c r="I90" s="24" t="str">
        <f aca="false">IF(B90="A",IF(ISNUMBER(E90),E90,""),IF(B90="B",IF(ISNUMBER(D90),D90,""),""))</f>
        <v/>
      </c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24" t="str">
        <f aca="false">IF(C91="","",IF(C91=B91,1,0))</f>
        <v/>
      </c>
      <c r="H91" s="24" t="str">
        <f aca="false">IF(B91="A",IF(ISNUMBER(D91),D91,""),IF(B91="B",IF(ISNUMBER(E91),E91,""),""))</f>
        <v/>
      </c>
      <c r="I91" s="24" t="str">
        <f aca="false">IF(B91="A",IF(ISNUMBER(E91),E91,""),IF(B91="B",IF(ISNUMBER(D91),D91,""),""))</f>
        <v/>
      </c>
    </row>
    <row r="92" customFormat="false" ht="15" hidden="false" customHeight="false" outlineLevel="0" collapsed="false">
      <c r="A92" s="8"/>
      <c r="B92" s="8"/>
      <c r="C92" s="8"/>
      <c r="D92" s="8"/>
      <c r="E92" s="8"/>
      <c r="F92" s="8"/>
      <c r="G92" s="24" t="str">
        <f aca="false">IF(C92="","",IF(C92=B92,1,0))</f>
        <v/>
      </c>
      <c r="H92" s="24" t="str">
        <f aca="false">IF(B92="A",IF(ISNUMBER(D92),D92,""),IF(B92="B",IF(ISNUMBER(E92),E92,""),""))</f>
        <v/>
      </c>
      <c r="I92" s="24" t="str">
        <f aca="false">IF(B92="A",IF(ISNUMBER(E92),E92,""),IF(B92="B",IF(ISNUMBER(D92),D92,""),""))</f>
        <v/>
      </c>
    </row>
    <row r="93" customFormat="false" ht="15" hidden="false" customHeight="false" outlineLevel="0" collapsed="false">
      <c r="A93" s="8"/>
      <c r="B93" s="8"/>
      <c r="C93" s="8"/>
      <c r="D93" s="8"/>
      <c r="E93" s="8"/>
      <c r="F93" s="8"/>
      <c r="G93" s="24" t="str">
        <f aca="false">IF(C93="","",IF(C93=B93,1,0))</f>
        <v/>
      </c>
      <c r="H93" s="24" t="str">
        <f aca="false">IF(B93="A",IF(ISNUMBER(D93),D93,""),IF(B93="B",IF(ISNUMBER(E93),E93,""),""))</f>
        <v/>
      </c>
      <c r="I93" s="24" t="str">
        <f aca="false">IF(B93="A",IF(ISNUMBER(E93),E93,""),IF(B93="B",IF(ISNUMBER(D93),D93,""),""))</f>
        <v/>
      </c>
    </row>
    <row r="94" customFormat="false" ht="15" hidden="false" customHeight="false" outlineLevel="0" collapsed="false">
      <c r="A94" s="8"/>
      <c r="B94" s="8"/>
      <c r="C94" s="8"/>
      <c r="D94" s="8"/>
      <c r="E94" s="8"/>
      <c r="F94" s="8"/>
      <c r="G94" s="24" t="str">
        <f aca="false">IF(C94="","",IF(C94=B94,1,0))</f>
        <v/>
      </c>
      <c r="H94" s="24" t="str">
        <f aca="false">IF(B94="A",IF(ISNUMBER(D94),D94,""),IF(B94="B",IF(ISNUMBER(E94),E94,""),""))</f>
        <v/>
      </c>
      <c r="I94" s="24" t="str">
        <f aca="false">IF(B94="A",IF(ISNUMBER(E94),E94,""),IF(B94="B",IF(ISNUMBER(D94),D94,""),""))</f>
        <v/>
      </c>
    </row>
    <row r="95" customFormat="false" ht="15" hidden="false" customHeight="false" outlineLevel="0" collapsed="false">
      <c r="A95" s="8"/>
      <c r="B95" s="8"/>
      <c r="C95" s="8"/>
      <c r="D95" s="8"/>
      <c r="E95" s="8"/>
      <c r="F95" s="8"/>
      <c r="G95" s="24" t="str">
        <f aca="false">IF(C95="","",IF(C95=B95,1,0))</f>
        <v/>
      </c>
      <c r="H95" s="24" t="str">
        <f aca="false">IF(B95="A",IF(ISNUMBER(D95),D95,""),IF(B95="B",IF(ISNUMBER(E95),E95,""),""))</f>
        <v/>
      </c>
      <c r="I95" s="24" t="str">
        <f aca="false">IF(B95="A",IF(ISNUMBER(E95),E95,""),IF(B95="B",IF(ISNUMBER(D95),D95,""),""))</f>
        <v/>
      </c>
    </row>
    <row r="96" customFormat="false" ht="15" hidden="false" customHeight="false" outlineLevel="0" collapsed="false">
      <c r="A96" s="8"/>
      <c r="B96" s="8"/>
      <c r="C96" s="8"/>
      <c r="D96" s="8"/>
      <c r="E96" s="8"/>
      <c r="F96" s="8"/>
      <c r="G96" s="24" t="str">
        <f aca="false">IF(C96="","",IF(C96=B96,1,0))</f>
        <v/>
      </c>
      <c r="H96" s="24" t="str">
        <f aca="false">IF(B96="A",IF(ISNUMBER(D96),D96,""),IF(B96="B",IF(ISNUMBER(E96),E96,""),""))</f>
        <v/>
      </c>
      <c r="I96" s="24" t="str">
        <f aca="false">IF(B96="A",IF(ISNUMBER(E96),E96,""),IF(B96="B",IF(ISNUMBER(D96),D96,""),""))</f>
        <v/>
      </c>
    </row>
    <row r="97" customFormat="false" ht="15" hidden="false" customHeight="false" outlineLevel="0" collapsed="false">
      <c r="A97" s="8"/>
      <c r="B97" s="8"/>
      <c r="C97" s="8"/>
      <c r="D97" s="8"/>
      <c r="E97" s="8"/>
      <c r="F97" s="8"/>
      <c r="G97" s="24" t="str">
        <f aca="false">IF(C97="","",IF(C97=B97,1,0))</f>
        <v/>
      </c>
      <c r="H97" s="24" t="str">
        <f aca="false">IF(B97="A",IF(ISNUMBER(D97),D97,""),IF(B97="B",IF(ISNUMBER(E97),E97,""),""))</f>
        <v/>
      </c>
      <c r="I97" s="24" t="str">
        <f aca="false">IF(B97="A",IF(ISNUMBER(E97),E97,""),IF(B97="B",IF(ISNUMBER(D97),D97,""),""))</f>
        <v/>
      </c>
    </row>
    <row r="98" customFormat="false" ht="15" hidden="false" customHeight="false" outlineLevel="0" collapsed="false">
      <c r="A98" s="8"/>
      <c r="B98" s="8"/>
      <c r="C98" s="8"/>
      <c r="D98" s="8"/>
      <c r="E98" s="8"/>
      <c r="F98" s="8"/>
      <c r="G98" s="24" t="str">
        <f aca="false">IF(C98="","",IF(C98=B98,1,0))</f>
        <v/>
      </c>
      <c r="H98" s="24" t="str">
        <f aca="false">IF(B98="A",IF(ISNUMBER(D98),D98,""),IF(B98="B",IF(ISNUMBER(E98),E98,""),""))</f>
        <v/>
      </c>
      <c r="I98" s="24" t="str">
        <f aca="false">IF(B98="A",IF(ISNUMBER(E98),E98,""),IF(B98="B",IF(ISNUMBER(D98),D98,""),""))</f>
        <v/>
      </c>
    </row>
    <row r="99" customFormat="false" ht="15" hidden="false" customHeight="false" outlineLevel="0" collapsed="false">
      <c r="A99" s="8"/>
      <c r="B99" s="8"/>
      <c r="C99" s="8"/>
      <c r="D99" s="8"/>
      <c r="E99" s="8"/>
      <c r="F99" s="8"/>
      <c r="G99" s="24" t="str">
        <f aca="false">IF(C99="","",IF(C99=B99,1,0))</f>
        <v/>
      </c>
      <c r="H99" s="24" t="str">
        <f aca="false">IF(B99="A",IF(ISNUMBER(D99),D99,""),IF(B99="B",IF(ISNUMBER(E99),E99,""),""))</f>
        <v/>
      </c>
      <c r="I99" s="24" t="str">
        <f aca="false">IF(B99="A",IF(ISNUMBER(E99),E99,""),IF(B99="B",IF(ISNUMBER(D99),D99,""),""))</f>
        <v/>
      </c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8"/>
      <c r="G100" s="24" t="str">
        <f aca="false">IF(C100="","",IF(C100=B100,1,0))</f>
        <v/>
      </c>
      <c r="H100" s="24" t="str">
        <f aca="false">IF(B100="A",IF(ISNUMBER(D100),D100,""),IF(B100="B",IF(ISNUMBER(E100),E100,""),""))</f>
        <v/>
      </c>
      <c r="I100" s="24" t="str">
        <f aca="false">IF(B100="A",IF(ISNUMBER(E100),E100,""),IF(B100="B",IF(ISNUMBER(D100),D100,""),""))</f>
        <v/>
      </c>
    </row>
    <row r="101" customFormat="false" ht="15" hidden="false" customHeight="false" outlineLevel="0" collapsed="false">
      <c r="A101" s="8"/>
      <c r="B101" s="8"/>
      <c r="C101" s="8"/>
      <c r="D101" s="8"/>
      <c r="E101" s="8"/>
      <c r="F101" s="8"/>
      <c r="G101" s="24" t="str">
        <f aca="false">IF(C101="","",IF(C101=B101,1,0))</f>
        <v/>
      </c>
      <c r="H101" s="24" t="str">
        <f aca="false">IF(B101="A",IF(ISNUMBER(D101),D101,""),IF(B101="B",IF(ISNUMBER(E101),E101,""),""))</f>
        <v/>
      </c>
      <c r="I101" s="24" t="str">
        <f aca="false">IF(B101="A",IF(ISNUMBER(E101),E101,""),IF(B101="B",IF(ISNUMBER(D101),D101,""),""))</f>
        <v/>
      </c>
    </row>
    <row r="102" customFormat="false" ht="15" hidden="false" customHeight="false" outlineLevel="0" collapsed="false">
      <c r="A102" s="8"/>
      <c r="B102" s="8"/>
      <c r="C102" s="8"/>
      <c r="D102" s="8"/>
      <c r="E102" s="8"/>
      <c r="F102" s="8"/>
      <c r="G102" s="24" t="str">
        <f aca="false">IF(C102="","",IF(C102=B102,1,0))</f>
        <v/>
      </c>
      <c r="H102" s="24" t="str">
        <f aca="false">IF(B102="A",IF(ISNUMBER(D102),D102,""),IF(B102="B",IF(ISNUMBER(E102),E102,""),""))</f>
        <v/>
      </c>
      <c r="I102" s="24" t="str">
        <f aca="false">IF(B102="A",IF(ISNUMBER(E102),E102,""),IF(B102="B",IF(ISNUMBER(D102),D102,""),""))</f>
        <v/>
      </c>
    </row>
    <row r="103" customFormat="false" ht="15" hidden="false" customHeight="false" outlineLevel="0" collapsed="false">
      <c r="A103" s="8"/>
      <c r="B103" s="8"/>
      <c r="C103" s="8"/>
      <c r="D103" s="8"/>
      <c r="E103" s="8"/>
      <c r="F103" s="8"/>
      <c r="G103" s="24" t="str">
        <f aca="false">IF(C103="","",IF(C103=B103,1,0))</f>
        <v/>
      </c>
      <c r="H103" s="24" t="str">
        <f aca="false">IF(B103="A",IF(ISNUMBER(D103),D103,""),IF(B103="B",IF(ISNUMBER(E103),E103,""),""))</f>
        <v/>
      </c>
      <c r="I103" s="24" t="str">
        <f aca="false">IF(B103="A",IF(ISNUMBER(E103),E103,""),IF(B103="B",IF(ISNUMBER(D103),D103,""),""))</f>
        <v/>
      </c>
    </row>
    <row r="104" customFormat="false" ht="15" hidden="false" customHeight="false" outlineLevel="0" collapsed="false">
      <c r="A104" s="8"/>
      <c r="B104" s="8"/>
      <c r="C104" s="8"/>
      <c r="D104" s="8"/>
      <c r="E104" s="8"/>
      <c r="F104" s="8"/>
      <c r="G104" s="24" t="str">
        <f aca="false">IF(C104="","",IF(C104=B104,1,0))</f>
        <v/>
      </c>
      <c r="H104" s="24" t="str">
        <f aca="false">IF(B104="A",IF(ISNUMBER(D104),D104,""),IF(B104="B",IF(ISNUMBER(E104),E104,""),""))</f>
        <v/>
      </c>
      <c r="I104" s="24" t="str">
        <f aca="false">IF(B104="A",IF(ISNUMBER(E104),E104,""),IF(B104="B",IF(ISNUMBER(D104),D104,""),""))</f>
        <v/>
      </c>
    </row>
    <row r="105" customFormat="false" ht="15" hidden="false" customHeight="false" outlineLevel="0" collapsed="false">
      <c r="A105" s="8"/>
      <c r="B105" s="8"/>
      <c r="C105" s="8"/>
      <c r="D105" s="8"/>
      <c r="E105" s="8"/>
      <c r="F105" s="8"/>
      <c r="G105" s="24" t="str">
        <f aca="false">IF(C105="","",IF(C105=B105,1,0))</f>
        <v/>
      </c>
      <c r="H105" s="24" t="str">
        <f aca="false">IF(B105="A",IF(ISNUMBER(D105),D105,""),IF(B105="B",IF(ISNUMBER(E105),E105,""),""))</f>
        <v/>
      </c>
      <c r="I105" s="24" t="str">
        <f aca="false">IF(B105="A",IF(ISNUMBER(E105),E105,""),IF(B105="B",IF(ISNUMBER(D105),D105,""),""))</f>
        <v/>
      </c>
    </row>
    <row r="106" customFormat="false" ht="15" hidden="false" customHeight="false" outlineLevel="0" collapsed="false">
      <c r="A106" s="8"/>
      <c r="B106" s="8"/>
      <c r="C106" s="8"/>
      <c r="D106" s="8"/>
      <c r="E106" s="8"/>
      <c r="F106" s="8"/>
      <c r="G106" s="24" t="str">
        <f aca="false">IF(C106="","",IF(C106=B106,1,0))</f>
        <v/>
      </c>
      <c r="H106" s="24" t="str">
        <f aca="false">IF(B106="A",IF(ISNUMBER(D106),D106,""),IF(B106="B",IF(ISNUMBER(E106),E106,""),""))</f>
        <v/>
      </c>
      <c r="I106" s="24" t="str">
        <f aca="false">IF(B106="A",IF(ISNUMBER(E106),E106,""),IF(B106="B",IF(ISNUMBER(D106),D106,""),""))</f>
        <v/>
      </c>
    </row>
    <row r="107" customFormat="false" ht="15" hidden="false" customHeight="false" outlineLevel="0" collapsed="false">
      <c r="A107" s="8"/>
      <c r="B107" s="8"/>
      <c r="C107" s="8"/>
      <c r="D107" s="8"/>
      <c r="E107" s="8"/>
      <c r="F107" s="8"/>
      <c r="G107" s="24" t="str">
        <f aca="false">IF(C107="","",IF(C107=B107,1,0))</f>
        <v/>
      </c>
      <c r="H107" s="24" t="str">
        <f aca="false">IF(B107="A",IF(ISNUMBER(D107),D107,""),IF(B107="B",IF(ISNUMBER(E107),E107,""),""))</f>
        <v/>
      </c>
      <c r="I107" s="24" t="str">
        <f aca="false">IF(B107="A",IF(ISNUMBER(E107),E107,""),IF(B107="B",IF(ISNUMBER(D107),D107,""),""))</f>
        <v/>
      </c>
    </row>
    <row r="108" customFormat="false" ht="15" hidden="false" customHeight="false" outlineLevel="0" collapsed="false">
      <c r="A108" s="8"/>
      <c r="B108" s="8"/>
      <c r="C108" s="8"/>
      <c r="D108" s="8"/>
      <c r="E108" s="8"/>
      <c r="F108" s="8"/>
      <c r="G108" s="24" t="str">
        <f aca="false">IF(C108="","",IF(C108=B108,1,0))</f>
        <v/>
      </c>
      <c r="H108" s="24" t="str">
        <f aca="false">IF(B108="A",IF(ISNUMBER(D108),D108,""),IF(B108="B",IF(ISNUMBER(E108),E108,""),""))</f>
        <v/>
      </c>
      <c r="I108" s="24" t="str">
        <f aca="false">IF(B108="A",IF(ISNUMBER(E108),E108,""),IF(B108="B",IF(ISNUMBER(D108),D108,""),""))</f>
        <v/>
      </c>
    </row>
    <row r="109" customFormat="false" ht="15" hidden="false" customHeight="false" outlineLevel="0" collapsed="false">
      <c r="A109" s="8"/>
      <c r="B109" s="8"/>
      <c r="C109" s="8"/>
      <c r="D109" s="8"/>
      <c r="E109" s="8"/>
      <c r="F109" s="8"/>
      <c r="G109" s="24" t="str">
        <f aca="false">IF(C109="","",IF(C109=B109,1,0))</f>
        <v/>
      </c>
      <c r="H109" s="24" t="str">
        <f aca="false">IF(B109="A",IF(ISNUMBER(D109),D109,""),IF(B109="B",IF(ISNUMBER(E109),E109,""),""))</f>
        <v/>
      </c>
      <c r="I109" s="24" t="str">
        <f aca="false">IF(B109="A",IF(ISNUMBER(E109),E109,""),IF(B109="B",IF(ISNUMBER(D109),D109,""),""))</f>
        <v/>
      </c>
    </row>
    <row r="110" customFormat="false" ht="15" hidden="false" customHeight="false" outlineLevel="0" collapsed="false">
      <c r="A110" s="8"/>
      <c r="B110" s="8"/>
      <c r="C110" s="8"/>
      <c r="D110" s="8"/>
      <c r="E110" s="8"/>
      <c r="F110" s="8"/>
      <c r="G110" s="24" t="str">
        <f aca="false">IF(C110="","",IF(C110=B110,1,0))</f>
        <v/>
      </c>
      <c r="H110" s="24" t="str">
        <f aca="false">IF(B110="A",IF(ISNUMBER(D110),D110,""),IF(B110="B",IF(ISNUMBER(E110),E110,""),""))</f>
        <v/>
      </c>
      <c r="I110" s="24" t="str">
        <f aca="false">IF(B110="A",IF(ISNUMBER(E110),E110,""),IF(B110="B",IF(ISNUMBER(D110),D110,""),""))</f>
        <v/>
      </c>
    </row>
    <row r="111" customFormat="false" ht="15" hidden="false" customHeight="false" outlineLevel="0" collapsed="false">
      <c r="A111" s="8"/>
      <c r="B111" s="8"/>
      <c r="C111" s="8"/>
      <c r="D111" s="8"/>
      <c r="E111" s="8"/>
      <c r="F111" s="8"/>
      <c r="G111" s="24" t="str">
        <f aca="false">IF(C111="","",IF(C111=B111,1,0))</f>
        <v/>
      </c>
      <c r="H111" s="24" t="str">
        <f aca="false">IF(B111="A",IF(ISNUMBER(D111),D111,""),IF(B111="B",IF(ISNUMBER(E111),E111,""),""))</f>
        <v/>
      </c>
      <c r="I111" s="24" t="str">
        <f aca="false">IF(B111="A",IF(ISNUMBER(E111),E111,""),IF(B111="B",IF(ISNUMBER(D111),D111,""),""))</f>
        <v/>
      </c>
    </row>
    <row r="112" customFormat="false" ht="15" hidden="false" customHeight="false" outlineLevel="0" collapsed="false">
      <c r="A112" s="8"/>
      <c r="B112" s="8"/>
      <c r="C112" s="8"/>
      <c r="D112" s="8"/>
      <c r="E112" s="8"/>
      <c r="F112" s="8"/>
      <c r="G112" s="24" t="str">
        <f aca="false">IF(C112="","",IF(C112=B112,1,0))</f>
        <v/>
      </c>
      <c r="H112" s="24" t="str">
        <f aca="false">IF(B112="A",IF(ISNUMBER(D112),D112,""),IF(B112="B",IF(ISNUMBER(E112),E112,""),""))</f>
        <v/>
      </c>
      <c r="I112" s="24" t="str">
        <f aca="false">IF(B112="A",IF(ISNUMBER(E112),E112,""),IF(B112="B",IF(ISNUMBER(D112),D112,""),""))</f>
        <v/>
      </c>
    </row>
    <row r="113" customFormat="false" ht="15" hidden="false" customHeight="false" outlineLevel="0" collapsed="false">
      <c r="A113" s="8"/>
      <c r="B113" s="8"/>
      <c r="C113" s="8"/>
      <c r="D113" s="8"/>
      <c r="E113" s="8"/>
      <c r="F113" s="8"/>
      <c r="G113" s="24" t="str">
        <f aca="false">IF(C113="","",IF(C113=B113,1,0))</f>
        <v/>
      </c>
      <c r="H113" s="24" t="str">
        <f aca="false">IF(B113="A",IF(ISNUMBER(D113),D113,""),IF(B113="B",IF(ISNUMBER(E113),E113,""),""))</f>
        <v/>
      </c>
      <c r="I113" s="24" t="str">
        <f aca="false">IF(B113="A",IF(ISNUMBER(E113),E113,""),IF(B113="B",IF(ISNUMBER(D113),D113,""),""))</f>
        <v/>
      </c>
    </row>
    <row r="114" customFormat="false" ht="15" hidden="false" customHeight="false" outlineLevel="0" collapsed="false">
      <c r="A114" s="8"/>
      <c r="B114" s="8"/>
      <c r="C114" s="8"/>
      <c r="D114" s="8"/>
      <c r="E114" s="8"/>
      <c r="F114" s="8"/>
      <c r="G114" s="24" t="str">
        <f aca="false">IF(C114="","",IF(C114=B114,1,0))</f>
        <v/>
      </c>
      <c r="H114" s="24" t="str">
        <f aca="false">IF(B114="A",IF(ISNUMBER(D114),D114,""),IF(B114="B",IF(ISNUMBER(E114),E114,""),""))</f>
        <v/>
      </c>
      <c r="I114" s="24" t="str">
        <f aca="false">IF(B114="A",IF(ISNUMBER(E114),E114,""),IF(B114="B",IF(ISNUMBER(D114),D114,""),""))</f>
        <v/>
      </c>
    </row>
    <row r="115" customFormat="false" ht="15" hidden="false" customHeight="false" outlineLevel="0" collapsed="false">
      <c r="A115" s="8"/>
      <c r="B115" s="8"/>
      <c r="C115" s="8"/>
      <c r="D115" s="8"/>
      <c r="E115" s="8"/>
      <c r="F115" s="8"/>
      <c r="G115" s="24" t="str">
        <f aca="false">IF(C115="","",IF(C115=B115,1,0))</f>
        <v/>
      </c>
      <c r="H115" s="24" t="str">
        <f aca="false">IF(B115="A",IF(ISNUMBER(D115),D115,""),IF(B115="B",IF(ISNUMBER(E115),E115,""),""))</f>
        <v/>
      </c>
      <c r="I115" s="24" t="str">
        <f aca="false">IF(B115="A",IF(ISNUMBER(E115),E115,""),IF(B115="B",IF(ISNUMBER(D115),D115,""),""))</f>
        <v/>
      </c>
    </row>
    <row r="116" customFormat="false" ht="15" hidden="false" customHeight="false" outlineLevel="0" collapsed="false">
      <c r="A116" s="8"/>
      <c r="B116" s="8"/>
      <c r="C116" s="8"/>
      <c r="D116" s="8"/>
      <c r="E116" s="8"/>
      <c r="F116" s="8"/>
      <c r="G116" s="24" t="str">
        <f aca="false">IF(C116="","",IF(C116=B116,1,0))</f>
        <v/>
      </c>
      <c r="H116" s="24" t="str">
        <f aca="false">IF(B116="A",IF(ISNUMBER(D116),D116,""),IF(B116="B",IF(ISNUMBER(E116),E116,""),""))</f>
        <v/>
      </c>
      <c r="I116" s="24" t="str">
        <f aca="false">IF(B116="A",IF(ISNUMBER(E116),E116,""),IF(B116="B",IF(ISNUMBER(D116),D116,""),""))</f>
        <v/>
      </c>
    </row>
    <row r="117" customFormat="false" ht="15" hidden="false" customHeight="false" outlineLevel="0" collapsed="false">
      <c r="A117" s="8"/>
      <c r="B117" s="8"/>
      <c r="C117" s="8"/>
      <c r="D117" s="8"/>
      <c r="E117" s="8"/>
      <c r="F117" s="8"/>
      <c r="G117" s="24" t="str">
        <f aca="false">IF(C117="","",IF(C117=B117,1,0))</f>
        <v/>
      </c>
      <c r="H117" s="24" t="str">
        <f aca="false">IF(B117="A",IF(ISNUMBER(D117),D117,""),IF(B117="B",IF(ISNUMBER(E117),E117,""),""))</f>
        <v/>
      </c>
      <c r="I117" s="24" t="str">
        <f aca="false">IF(B117="A",IF(ISNUMBER(E117),E117,""),IF(B117="B",IF(ISNUMBER(D117),D117,""),""))</f>
        <v/>
      </c>
    </row>
    <row r="118" customFormat="false" ht="15" hidden="false" customHeight="false" outlineLevel="0" collapsed="false">
      <c r="A118" s="8"/>
      <c r="B118" s="8"/>
      <c r="C118" s="8"/>
      <c r="D118" s="8"/>
      <c r="E118" s="8"/>
      <c r="F118" s="8"/>
      <c r="G118" s="24" t="str">
        <f aca="false">IF(C118="","",IF(C118=B118,1,0))</f>
        <v/>
      </c>
      <c r="H118" s="24" t="str">
        <f aca="false">IF(B118="A",IF(ISNUMBER(D118),D118,""),IF(B118="B",IF(ISNUMBER(E118),E118,""),""))</f>
        <v/>
      </c>
      <c r="I118" s="24" t="str">
        <f aca="false">IF(B118="A",IF(ISNUMBER(E118),E118,""),IF(B118="B",IF(ISNUMBER(D118),D118,""),""))</f>
        <v/>
      </c>
    </row>
    <row r="119" customFormat="false" ht="15" hidden="false" customHeight="false" outlineLevel="0" collapsed="false">
      <c r="A119" s="8"/>
      <c r="B119" s="8"/>
      <c r="C119" s="8"/>
      <c r="D119" s="8"/>
      <c r="E119" s="8"/>
      <c r="F119" s="8"/>
      <c r="G119" s="24" t="str">
        <f aca="false">IF(C119="","",IF(C119=B119,1,0))</f>
        <v/>
      </c>
      <c r="H119" s="24" t="str">
        <f aca="false">IF(B119="A",IF(ISNUMBER(D119),D119,""),IF(B119="B",IF(ISNUMBER(E119),E119,""),""))</f>
        <v/>
      </c>
      <c r="I119" s="24" t="str">
        <f aca="false">IF(B119="A",IF(ISNUMBER(E119),E119,""),IF(B119="B",IF(ISNUMBER(D119),D119,""),""))</f>
        <v/>
      </c>
    </row>
    <row r="120" customFormat="false" ht="15" hidden="false" customHeight="false" outlineLevel="0" collapsed="false">
      <c r="A120" s="8"/>
      <c r="B120" s="8"/>
      <c r="C120" s="8"/>
      <c r="D120" s="8"/>
      <c r="E120" s="8"/>
      <c r="F120" s="8"/>
      <c r="G120" s="24" t="str">
        <f aca="false">IF(C120="","",IF(C120=B120,1,0))</f>
        <v/>
      </c>
      <c r="H120" s="24" t="str">
        <f aca="false">IF(B120="A",IF(ISNUMBER(D120),D120,""),IF(B120="B",IF(ISNUMBER(E120),E120,""),""))</f>
        <v/>
      </c>
      <c r="I120" s="24" t="str">
        <f aca="false">IF(B120="A",IF(ISNUMBER(E120),E120,""),IF(B120="B",IF(ISNUMBER(D120),D120,""),""))</f>
        <v/>
      </c>
    </row>
    <row r="121" customFormat="false" ht="15" hidden="false" customHeight="false" outlineLevel="0" collapsed="false">
      <c r="A121" s="8"/>
      <c r="B121" s="8"/>
      <c r="C121" s="8"/>
      <c r="D121" s="8"/>
      <c r="E121" s="8"/>
      <c r="F121" s="8"/>
      <c r="G121" s="24" t="str">
        <f aca="false">IF(C121="","",IF(C121=B121,1,0))</f>
        <v/>
      </c>
      <c r="H121" s="24" t="str">
        <f aca="false">IF(B121="A",IF(ISNUMBER(D121),D121,""),IF(B121="B",IF(ISNUMBER(E121),E121,""),""))</f>
        <v/>
      </c>
      <c r="I121" s="24" t="str">
        <f aca="false">IF(B121="A",IF(ISNUMBER(E121),E121,""),IF(B121="B",IF(ISNUMBER(D121),D121,""),""))</f>
        <v/>
      </c>
    </row>
    <row r="122" customFormat="false" ht="15" hidden="false" customHeight="false" outlineLevel="0" collapsed="false">
      <c r="A122" s="8"/>
      <c r="B122" s="8"/>
      <c r="C122" s="8"/>
      <c r="D122" s="8"/>
      <c r="E122" s="8"/>
      <c r="F122" s="8"/>
      <c r="G122" s="24" t="str">
        <f aca="false">IF(C122="","",IF(C122=B122,1,0))</f>
        <v/>
      </c>
      <c r="H122" s="24" t="str">
        <f aca="false">IF(B122="A",IF(ISNUMBER(D122),D122,""),IF(B122="B",IF(ISNUMBER(E122),E122,""),""))</f>
        <v/>
      </c>
      <c r="I122" s="24" t="str">
        <f aca="false">IF(B122="A",IF(ISNUMBER(E122),E122,""),IF(B122="B",IF(ISNUMBER(D122),D122,""),""))</f>
        <v/>
      </c>
    </row>
    <row r="123" customFormat="false" ht="15" hidden="false" customHeight="false" outlineLevel="0" collapsed="false">
      <c r="A123" s="8"/>
      <c r="B123" s="8"/>
      <c r="C123" s="8"/>
      <c r="D123" s="8"/>
      <c r="E123" s="8"/>
      <c r="F123" s="8"/>
      <c r="G123" s="24" t="str">
        <f aca="false">IF(C123="","",IF(C123=B123,1,0))</f>
        <v/>
      </c>
      <c r="H123" s="24" t="str">
        <f aca="false">IF(B123="A",IF(ISNUMBER(D123),D123,""),IF(B123="B",IF(ISNUMBER(E123),E123,""),""))</f>
        <v/>
      </c>
      <c r="I123" s="24" t="str">
        <f aca="false">IF(B123="A",IF(ISNUMBER(E123),E123,""),IF(B123="B",IF(ISNUMBER(D123),D123,""),""))</f>
        <v/>
      </c>
    </row>
    <row r="124" customFormat="false" ht="15" hidden="false" customHeight="false" outlineLevel="0" collapsed="false">
      <c r="A124" s="8"/>
      <c r="B124" s="8"/>
      <c r="C124" s="8"/>
      <c r="D124" s="8"/>
      <c r="E124" s="8"/>
      <c r="F124" s="8"/>
      <c r="G124" s="24" t="str">
        <f aca="false">IF(C124="","",IF(C124=B124,1,0))</f>
        <v/>
      </c>
      <c r="H124" s="24" t="str">
        <f aca="false">IF(B124="A",IF(ISNUMBER(D124),D124,""),IF(B124="B",IF(ISNUMBER(E124),E124,""),""))</f>
        <v/>
      </c>
      <c r="I124" s="24" t="str">
        <f aca="false">IF(B124="A",IF(ISNUMBER(E124),E124,""),IF(B124="B",IF(ISNUMBER(D124),D124,""),""))</f>
        <v/>
      </c>
    </row>
    <row r="125" customFormat="false" ht="15" hidden="false" customHeight="false" outlineLevel="0" collapsed="false">
      <c r="A125" s="8"/>
      <c r="B125" s="8"/>
      <c r="C125" s="8"/>
      <c r="D125" s="8"/>
      <c r="E125" s="8"/>
      <c r="F125" s="8"/>
      <c r="G125" s="24" t="str">
        <f aca="false">IF(C125="","",IF(C125=B125,1,0))</f>
        <v/>
      </c>
      <c r="H125" s="24" t="str">
        <f aca="false">IF(B125="A",IF(ISNUMBER(D125),D125,""),IF(B125="B",IF(ISNUMBER(E125),E125,""),""))</f>
        <v/>
      </c>
      <c r="I125" s="24" t="str">
        <f aca="false">IF(B125="A",IF(ISNUMBER(E125),E125,""),IF(B125="B",IF(ISNUMBER(D125),D125,""),""))</f>
        <v/>
      </c>
    </row>
    <row r="126" customFormat="false" ht="15" hidden="false" customHeight="false" outlineLevel="0" collapsed="false">
      <c r="A126" s="8"/>
      <c r="B126" s="8"/>
      <c r="C126" s="8"/>
      <c r="D126" s="8"/>
      <c r="E126" s="8"/>
      <c r="F126" s="8"/>
      <c r="G126" s="24" t="str">
        <f aca="false">IF(C126="","",IF(C126=B126,1,0))</f>
        <v/>
      </c>
      <c r="H126" s="24" t="str">
        <f aca="false">IF(B126="A",IF(ISNUMBER(D126),D126,""),IF(B126="B",IF(ISNUMBER(E126),E126,""),""))</f>
        <v/>
      </c>
      <c r="I126" s="24" t="str">
        <f aca="false">IF(B126="A",IF(ISNUMBER(E126),E126,""),IF(B126="B",IF(ISNUMBER(D126),D126,""),""))</f>
        <v/>
      </c>
    </row>
    <row r="127" customFormat="false" ht="15" hidden="false" customHeight="false" outlineLevel="0" collapsed="false">
      <c r="A127" s="8"/>
      <c r="B127" s="8"/>
      <c r="C127" s="8"/>
      <c r="D127" s="8"/>
      <c r="E127" s="8"/>
      <c r="F127" s="8"/>
      <c r="G127" s="24" t="str">
        <f aca="false">IF(C127="","",IF(C127=B127,1,0))</f>
        <v/>
      </c>
      <c r="H127" s="24" t="str">
        <f aca="false">IF(B127="A",IF(ISNUMBER(D127),D127,""),IF(B127="B",IF(ISNUMBER(E127),E127,""),""))</f>
        <v/>
      </c>
      <c r="I127" s="24" t="str">
        <f aca="false">IF(B127="A",IF(ISNUMBER(E127),E127,""),IF(B127="B",IF(ISNUMBER(D127),D127,""),""))</f>
        <v/>
      </c>
    </row>
    <row r="128" customFormat="false" ht="15" hidden="false" customHeight="false" outlineLevel="0" collapsed="false">
      <c r="A128" s="8"/>
      <c r="B128" s="8"/>
      <c r="C128" s="8"/>
      <c r="D128" s="8"/>
      <c r="E128" s="8"/>
      <c r="F128" s="8"/>
      <c r="G128" s="24" t="str">
        <f aca="false">IF(C128="","",IF(C128=B128,1,0))</f>
        <v/>
      </c>
      <c r="H128" s="24" t="str">
        <f aca="false">IF(B128="A",IF(ISNUMBER(D128),D128,""),IF(B128="B",IF(ISNUMBER(E128),E128,""),""))</f>
        <v/>
      </c>
      <c r="I128" s="24" t="str">
        <f aca="false">IF(B128="A",IF(ISNUMBER(E128),E128,""),IF(B128="B",IF(ISNUMBER(D128),D128,""),""))</f>
        <v/>
      </c>
    </row>
    <row r="129" customFormat="false" ht="15" hidden="false" customHeight="false" outlineLevel="0" collapsed="false">
      <c r="A129" s="8"/>
      <c r="B129" s="8"/>
      <c r="C129" s="8"/>
      <c r="D129" s="8"/>
      <c r="E129" s="8"/>
      <c r="F129" s="8"/>
      <c r="G129" s="24" t="str">
        <f aca="false">IF(C129="","",IF(C129=B129,1,0))</f>
        <v/>
      </c>
      <c r="H129" s="24" t="str">
        <f aca="false">IF(B129="A",IF(ISNUMBER(D129),D129,""),IF(B129="B",IF(ISNUMBER(E129),E129,""),""))</f>
        <v/>
      </c>
      <c r="I129" s="24" t="str">
        <f aca="false">IF(B129="A",IF(ISNUMBER(E129),E129,""),IF(B129="B",IF(ISNUMBER(D129),D129,""),""))</f>
        <v/>
      </c>
    </row>
    <row r="130" customFormat="false" ht="15" hidden="false" customHeight="false" outlineLevel="0" collapsed="false">
      <c r="A130" s="8"/>
      <c r="B130" s="8"/>
      <c r="C130" s="8"/>
      <c r="D130" s="8"/>
      <c r="E130" s="8"/>
      <c r="F130" s="8"/>
      <c r="G130" s="24" t="str">
        <f aca="false">IF(C130="","",IF(C130=B130,1,0))</f>
        <v/>
      </c>
      <c r="H130" s="24" t="str">
        <f aca="false">IF(B130="A",IF(ISNUMBER(D130),D130,""),IF(B130="B",IF(ISNUMBER(E130),E130,""),""))</f>
        <v/>
      </c>
      <c r="I130" s="24" t="str">
        <f aca="false">IF(B130="A",IF(ISNUMBER(E130),E130,""),IF(B130="B",IF(ISNUMBER(D130),D130,""),""))</f>
        <v/>
      </c>
    </row>
    <row r="131" customFormat="false" ht="15" hidden="false" customHeight="false" outlineLevel="0" collapsed="false">
      <c r="A131" s="8"/>
      <c r="B131" s="8"/>
      <c r="C131" s="8"/>
      <c r="D131" s="8"/>
      <c r="E131" s="8"/>
      <c r="F131" s="8"/>
      <c r="G131" s="24" t="str">
        <f aca="false">IF(C131="","",IF(C131=B131,1,0))</f>
        <v/>
      </c>
      <c r="H131" s="24" t="str">
        <f aca="false">IF(B131="A",IF(ISNUMBER(D131),D131,""),IF(B131="B",IF(ISNUMBER(E131),E131,""),""))</f>
        <v/>
      </c>
      <c r="I131" s="24" t="str">
        <f aca="false">IF(B131="A",IF(ISNUMBER(E131),E131,""),IF(B131="B",IF(ISNUMBER(D131),D131,""),""))</f>
        <v/>
      </c>
    </row>
    <row r="132" customFormat="false" ht="15" hidden="false" customHeight="false" outlineLevel="0" collapsed="false">
      <c r="A132" s="8"/>
      <c r="B132" s="8"/>
      <c r="C132" s="8"/>
      <c r="D132" s="8"/>
      <c r="E132" s="8"/>
      <c r="F132" s="8"/>
      <c r="G132" s="24" t="str">
        <f aca="false">IF(C132="","",IF(C132=B132,1,0))</f>
        <v/>
      </c>
      <c r="H132" s="24" t="str">
        <f aca="false">IF(B132="A",IF(ISNUMBER(D132),D132,""),IF(B132="B",IF(ISNUMBER(E132),E132,""),""))</f>
        <v/>
      </c>
      <c r="I132" s="24" t="str">
        <f aca="false">IF(B132="A",IF(ISNUMBER(E132),E132,""),IF(B132="B",IF(ISNUMBER(D132),D132,""),""))</f>
        <v/>
      </c>
    </row>
    <row r="133" customFormat="false" ht="15" hidden="false" customHeight="false" outlineLevel="0" collapsed="false">
      <c r="A133" s="8"/>
      <c r="B133" s="8"/>
      <c r="C133" s="8"/>
      <c r="D133" s="8"/>
      <c r="E133" s="8"/>
      <c r="F133" s="8"/>
      <c r="G133" s="24" t="str">
        <f aca="false">IF(C133="","",IF(C133=B133,1,0))</f>
        <v/>
      </c>
      <c r="H133" s="24" t="str">
        <f aca="false">IF(B133="A",IF(ISNUMBER(D133),D133,""),IF(B133="B",IF(ISNUMBER(E133),E133,""),""))</f>
        <v/>
      </c>
      <c r="I133" s="24" t="str">
        <f aca="false">IF(B133="A",IF(ISNUMBER(E133),E133,""),IF(B133="B",IF(ISNUMBER(D133),D133,""),""))</f>
        <v/>
      </c>
    </row>
    <row r="134" customFormat="false" ht="15" hidden="false" customHeight="false" outlineLevel="0" collapsed="false">
      <c r="A134" s="8"/>
      <c r="B134" s="8"/>
      <c r="C134" s="8"/>
      <c r="D134" s="8"/>
      <c r="E134" s="8"/>
      <c r="F134" s="8"/>
      <c r="G134" s="24" t="str">
        <f aca="false">IF(C134="","",IF(C134=B134,1,0))</f>
        <v/>
      </c>
      <c r="H134" s="24" t="str">
        <f aca="false">IF(B134="A",IF(ISNUMBER(D134),D134,""),IF(B134="B",IF(ISNUMBER(E134),E134,""),""))</f>
        <v/>
      </c>
      <c r="I134" s="24" t="str">
        <f aca="false">IF(B134="A",IF(ISNUMBER(E134),E134,""),IF(B134="B",IF(ISNUMBER(D134),D134,""),""))</f>
        <v/>
      </c>
    </row>
    <row r="135" customFormat="false" ht="15" hidden="false" customHeight="false" outlineLevel="0" collapsed="false">
      <c r="A135" s="8"/>
      <c r="B135" s="8"/>
      <c r="C135" s="8"/>
      <c r="D135" s="8"/>
      <c r="E135" s="8"/>
      <c r="F135" s="8"/>
      <c r="G135" s="24" t="str">
        <f aca="false">IF(C135="","",IF(C135=B135,1,0))</f>
        <v/>
      </c>
      <c r="H135" s="24" t="str">
        <f aca="false">IF(B135="A",IF(ISNUMBER(D135),D135,""),IF(B135="B",IF(ISNUMBER(E135),E135,""),""))</f>
        <v/>
      </c>
      <c r="I135" s="24" t="str">
        <f aca="false">IF(B135="A",IF(ISNUMBER(E135),E135,""),IF(B135="B",IF(ISNUMBER(D135),D135,""),""))</f>
        <v/>
      </c>
    </row>
    <row r="136" customFormat="false" ht="15" hidden="false" customHeight="false" outlineLevel="0" collapsed="false">
      <c r="A136" s="8"/>
      <c r="B136" s="8"/>
      <c r="C136" s="8"/>
      <c r="D136" s="8"/>
      <c r="E136" s="8"/>
      <c r="F136" s="8"/>
      <c r="G136" s="24" t="str">
        <f aca="false">IF(C136="","",IF(C136=B136,1,0))</f>
        <v/>
      </c>
      <c r="H136" s="24" t="str">
        <f aca="false">IF(B136="A",IF(ISNUMBER(D136),D136,""),IF(B136="B",IF(ISNUMBER(E136),E136,""),""))</f>
        <v/>
      </c>
      <c r="I136" s="24" t="str">
        <f aca="false">IF(B136="A",IF(ISNUMBER(E136),E136,""),IF(B136="B",IF(ISNUMBER(D136),D136,""),""))</f>
        <v/>
      </c>
    </row>
    <row r="137" customFormat="false" ht="15" hidden="false" customHeight="false" outlineLevel="0" collapsed="false">
      <c r="A137" s="8"/>
      <c r="B137" s="8"/>
      <c r="C137" s="8"/>
      <c r="D137" s="8"/>
      <c r="E137" s="8"/>
      <c r="F137" s="8"/>
      <c r="G137" s="24" t="str">
        <f aca="false">IF(C137="","",IF(C137=B137,1,0))</f>
        <v/>
      </c>
      <c r="H137" s="24" t="str">
        <f aca="false">IF(B137="A",IF(ISNUMBER(D137),D137,""),IF(B137="B",IF(ISNUMBER(E137),E137,""),""))</f>
        <v/>
      </c>
      <c r="I137" s="24" t="str">
        <f aca="false">IF(B137="A",IF(ISNUMBER(E137),E137,""),IF(B137="B",IF(ISNUMBER(D137),D137,""),""))</f>
        <v/>
      </c>
    </row>
    <row r="138" customFormat="false" ht="15" hidden="false" customHeight="false" outlineLevel="0" collapsed="false">
      <c r="A138" s="8"/>
      <c r="B138" s="8"/>
      <c r="C138" s="8"/>
      <c r="D138" s="8"/>
      <c r="E138" s="8"/>
      <c r="F138" s="8"/>
      <c r="G138" s="24" t="str">
        <f aca="false">IF(C138="","",IF(C138=B138,1,0))</f>
        <v/>
      </c>
      <c r="H138" s="24" t="str">
        <f aca="false">IF(B138="A",IF(ISNUMBER(D138),D138,""),IF(B138="B",IF(ISNUMBER(E138),E138,""),""))</f>
        <v/>
      </c>
      <c r="I138" s="24" t="str">
        <f aca="false">IF(B138="A",IF(ISNUMBER(E138),E138,""),IF(B138="B",IF(ISNUMBER(D138),D138,""),""))</f>
        <v/>
      </c>
    </row>
    <row r="139" customFormat="false" ht="15" hidden="false" customHeight="false" outlineLevel="0" collapsed="false">
      <c r="A139" s="8"/>
      <c r="B139" s="8"/>
      <c r="C139" s="8"/>
      <c r="D139" s="8"/>
      <c r="E139" s="8"/>
      <c r="F139" s="8"/>
      <c r="G139" s="24" t="str">
        <f aca="false">IF(C139="","",IF(C139=B139,1,0))</f>
        <v/>
      </c>
      <c r="H139" s="24" t="str">
        <f aca="false">IF(B139="A",IF(ISNUMBER(D139),D139,""),IF(B139="B",IF(ISNUMBER(E139),E139,""),""))</f>
        <v/>
      </c>
      <c r="I139" s="24" t="str">
        <f aca="false">IF(B139="A",IF(ISNUMBER(E139),E139,""),IF(B139="B",IF(ISNUMBER(D139),D139,""),""))</f>
        <v/>
      </c>
    </row>
    <row r="140" customFormat="false" ht="15" hidden="false" customHeight="false" outlineLevel="0" collapsed="false">
      <c r="A140" s="8"/>
      <c r="B140" s="8"/>
      <c r="C140" s="8"/>
      <c r="D140" s="8"/>
      <c r="E140" s="8"/>
      <c r="F140" s="8"/>
      <c r="G140" s="24" t="str">
        <f aca="false">IF(C140="","",IF(C140=B140,1,0))</f>
        <v/>
      </c>
      <c r="H140" s="24" t="str">
        <f aca="false">IF(B140="A",IF(ISNUMBER(D140),D140,""),IF(B140="B",IF(ISNUMBER(E140),E140,""),""))</f>
        <v/>
      </c>
      <c r="I140" s="24" t="str">
        <f aca="false">IF(B140="A",IF(ISNUMBER(E140),E140,""),IF(B140="B",IF(ISNUMBER(D140),D140,""),""))</f>
        <v/>
      </c>
    </row>
    <row r="141" customFormat="false" ht="15" hidden="false" customHeight="false" outlineLevel="0" collapsed="false">
      <c r="A141" s="8"/>
      <c r="B141" s="8"/>
      <c r="C141" s="8"/>
      <c r="D141" s="8"/>
      <c r="E141" s="8"/>
      <c r="F141" s="8"/>
      <c r="G141" s="24" t="str">
        <f aca="false">IF(C141="","",IF(C141=B141,1,0))</f>
        <v/>
      </c>
      <c r="H141" s="24" t="str">
        <f aca="false">IF(B141="A",IF(ISNUMBER(D141),D141,""),IF(B141="B",IF(ISNUMBER(E141),E141,""),""))</f>
        <v/>
      </c>
      <c r="I141" s="24" t="str">
        <f aca="false">IF(B141="A",IF(ISNUMBER(E141),E141,""),IF(B141="B",IF(ISNUMBER(D141),D141,""),""))</f>
        <v/>
      </c>
    </row>
    <row r="142" customFormat="false" ht="15" hidden="false" customHeight="false" outlineLevel="0" collapsed="false">
      <c r="A142" s="8"/>
      <c r="B142" s="8"/>
      <c r="C142" s="8"/>
      <c r="D142" s="8"/>
      <c r="E142" s="8"/>
      <c r="F142" s="8"/>
      <c r="G142" s="24" t="str">
        <f aca="false">IF(C142="","",IF(C142=B142,1,0))</f>
        <v/>
      </c>
      <c r="H142" s="24" t="str">
        <f aca="false">IF(B142="A",IF(ISNUMBER(D142),D142,""),IF(B142="B",IF(ISNUMBER(E142),E142,""),""))</f>
        <v/>
      </c>
      <c r="I142" s="24" t="str">
        <f aca="false">IF(B142="A",IF(ISNUMBER(E142),E142,""),IF(B142="B",IF(ISNUMBER(D142),D142,""),""))</f>
        <v/>
      </c>
    </row>
    <row r="143" customFormat="false" ht="15" hidden="false" customHeight="false" outlineLevel="0" collapsed="false">
      <c r="A143" s="8"/>
      <c r="B143" s="8"/>
      <c r="C143" s="8"/>
      <c r="D143" s="8"/>
      <c r="E143" s="8"/>
      <c r="F143" s="8"/>
      <c r="G143" s="24" t="str">
        <f aca="false">IF(C143="","",IF(C143=B143,1,0))</f>
        <v/>
      </c>
      <c r="H143" s="24" t="str">
        <f aca="false">IF(B143="A",IF(ISNUMBER(D143),D143,""),IF(B143="B",IF(ISNUMBER(E143),E143,""),""))</f>
        <v/>
      </c>
      <c r="I143" s="24" t="str">
        <f aca="false">IF(B143="A",IF(ISNUMBER(E143),E143,""),IF(B143="B",IF(ISNUMBER(D143),D143,""),""))</f>
        <v/>
      </c>
    </row>
    <row r="144" customFormat="false" ht="15" hidden="false" customHeight="false" outlineLevel="0" collapsed="false">
      <c r="A144" s="8"/>
      <c r="B144" s="8"/>
      <c r="C144" s="8"/>
      <c r="D144" s="8"/>
      <c r="E144" s="8"/>
      <c r="F144" s="8"/>
      <c r="G144" s="24" t="str">
        <f aca="false">IF(C144="","",IF(C144=B144,1,0))</f>
        <v/>
      </c>
      <c r="H144" s="24" t="str">
        <f aca="false">IF(B144="A",IF(ISNUMBER(D144),D144,""),IF(B144="B",IF(ISNUMBER(E144),E144,""),""))</f>
        <v/>
      </c>
      <c r="I144" s="24" t="str">
        <f aca="false">IF(B144="A",IF(ISNUMBER(E144),E144,""),IF(B144="B",IF(ISNUMBER(D144),D144,""),""))</f>
        <v/>
      </c>
    </row>
    <row r="145" customFormat="false" ht="15" hidden="false" customHeight="false" outlineLevel="0" collapsed="false">
      <c r="A145" s="8"/>
      <c r="B145" s="8"/>
      <c r="C145" s="8"/>
      <c r="D145" s="8"/>
      <c r="E145" s="8"/>
      <c r="F145" s="8"/>
      <c r="G145" s="24" t="str">
        <f aca="false">IF(C145="","",IF(C145=B145,1,0))</f>
        <v/>
      </c>
      <c r="H145" s="24" t="str">
        <f aca="false">IF(B145="A",IF(ISNUMBER(D145),D145,""),IF(B145="B",IF(ISNUMBER(E145),E145,""),""))</f>
        <v/>
      </c>
      <c r="I145" s="24" t="str">
        <f aca="false">IF(B145="A",IF(ISNUMBER(E145),E145,""),IF(B145="B",IF(ISNUMBER(D145),D145,""),""))</f>
        <v/>
      </c>
    </row>
    <row r="146" customFormat="false" ht="15" hidden="false" customHeight="false" outlineLevel="0" collapsed="false">
      <c r="A146" s="8"/>
      <c r="B146" s="8"/>
      <c r="C146" s="8"/>
      <c r="D146" s="8"/>
      <c r="E146" s="8"/>
      <c r="F146" s="8"/>
      <c r="G146" s="24" t="str">
        <f aca="false">IF(C146="","",IF(C146=B146,1,0))</f>
        <v/>
      </c>
      <c r="H146" s="24" t="str">
        <f aca="false">IF(B146="A",IF(ISNUMBER(D146),D146,""),IF(B146="B",IF(ISNUMBER(E146),E146,""),""))</f>
        <v/>
      </c>
      <c r="I146" s="24" t="str">
        <f aca="false">IF(B146="A",IF(ISNUMBER(E146),E146,""),IF(B146="B",IF(ISNUMBER(D146),D146,""),""))</f>
        <v/>
      </c>
    </row>
    <row r="147" customFormat="false" ht="15" hidden="false" customHeight="false" outlineLevel="0" collapsed="false">
      <c r="A147" s="8"/>
      <c r="B147" s="8"/>
      <c r="C147" s="8"/>
      <c r="D147" s="8"/>
      <c r="E147" s="8"/>
      <c r="F147" s="8"/>
      <c r="G147" s="24" t="str">
        <f aca="false">IF(C147="","",IF(C147=B147,1,0))</f>
        <v/>
      </c>
      <c r="H147" s="24" t="str">
        <f aca="false">IF(B147="A",IF(ISNUMBER(D147),D147,""),IF(B147="B",IF(ISNUMBER(E147),E147,""),""))</f>
        <v/>
      </c>
      <c r="I147" s="24" t="str">
        <f aca="false">IF(B147="A",IF(ISNUMBER(E147),E147,""),IF(B147="B",IF(ISNUMBER(D147),D147,""),""))</f>
        <v/>
      </c>
    </row>
    <row r="148" customFormat="false" ht="15" hidden="false" customHeight="false" outlineLevel="0" collapsed="false">
      <c r="A148" s="8"/>
      <c r="B148" s="8"/>
      <c r="C148" s="8"/>
      <c r="D148" s="8"/>
      <c r="E148" s="8"/>
      <c r="F148" s="8"/>
      <c r="G148" s="24" t="str">
        <f aca="false">IF(C148="","",IF(C148=B148,1,0))</f>
        <v/>
      </c>
      <c r="H148" s="24" t="str">
        <f aca="false">IF(B148="A",IF(ISNUMBER(D148),D148,""),IF(B148="B",IF(ISNUMBER(E148),E148,""),""))</f>
        <v/>
      </c>
      <c r="I148" s="24" t="str">
        <f aca="false">IF(B148="A",IF(ISNUMBER(E148),E148,""),IF(B148="B",IF(ISNUMBER(D148),D148,""),""))</f>
        <v/>
      </c>
    </row>
    <row r="149" customFormat="false" ht="15" hidden="false" customHeight="false" outlineLevel="0" collapsed="false">
      <c r="A149" s="8"/>
      <c r="B149" s="8"/>
      <c r="C149" s="8"/>
      <c r="D149" s="8"/>
      <c r="E149" s="8"/>
      <c r="F149" s="8"/>
      <c r="G149" s="24" t="str">
        <f aca="false">IF(C149="","",IF(C149=B149,1,0))</f>
        <v/>
      </c>
      <c r="H149" s="24" t="str">
        <f aca="false">IF(B149="A",IF(ISNUMBER(D149),D149,""),IF(B149="B",IF(ISNUMBER(E149),E149,""),""))</f>
        <v/>
      </c>
      <c r="I149" s="24" t="str">
        <f aca="false">IF(B149="A",IF(ISNUMBER(E149),E149,""),IF(B149="B",IF(ISNUMBER(D149),D149,""),""))</f>
        <v/>
      </c>
    </row>
    <row r="150" customFormat="false" ht="15" hidden="false" customHeight="false" outlineLevel="0" collapsed="false">
      <c r="A150" s="8"/>
      <c r="B150" s="8"/>
      <c r="C150" s="8"/>
      <c r="D150" s="8"/>
      <c r="E150" s="8"/>
      <c r="F150" s="8"/>
      <c r="G150" s="24" t="str">
        <f aca="false">IF(C150="","",IF(C150=B150,1,0))</f>
        <v/>
      </c>
      <c r="H150" s="24" t="str">
        <f aca="false">IF(B150="A",IF(ISNUMBER(D150),D150,""),IF(B150="B",IF(ISNUMBER(E150),E150,""),""))</f>
        <v/>
      </c>
      <c r="I150" s="24" t="str">
        <f aca="false">IF(B150="A",IF(ISNUMBER(E150),E150,""),IF(B150="B",IF(ISNUMBER(D150),D150,""),""))</f>
        <v/>
      </c>
    </row>
    <row r="151" customFormat="false" ht="15" hidden="false" customHeight="false" outlineLevel="0" collapsed="false">
      <c r="A151" s="8"/>
      <c r="B151" s="8"/>
      <c r="C151" s="8"/>
      <c r="D151" s="8"/>
      <c r="E151" s="8"/>
      <c r="F151" s="8"/>
      <c r="G151" s="24" t="str">
        <f aca="false">IF(C151="","",IF(C151=B151,1,0))</f>
        <v/>
      </c>
      <c r="H151" s="24" t="str">
        <f aca="false">IF(B151="A",IF(ISNUMBER(D151),D151,""),IF(B151="B",IF(ISNUMBER(E151),E151,""),""))</f>
        <v/>
      </c>
      <c r="I151" s="24" t="str">
        <f aca="false">IF(B151="A",IF(ISNUMBER(E151),E151,""),IF(B151="B",IF(ISNUMBER(D151),D151,""),""))</f>
        <v/>
      </c>
    </row>
    <row r="152" customFormat="false" ht="15" hidden="false" customHeight="false" outlineLevel="0" collapsed="false">
      <c r="A152" s="8"/>
      <c r="B152" s="8"/>
      <c r="C152" s="8"/>
      <c r="D152" s="8"/>
      <c r="E152" s="8"/>
      <c r="F152" s="8"/>
      <c r="G152" s="24" t="str">
        <f aca="false">IF(C152="","",IF(C152=B152,1,0))</f>
        <v/>
      </c>
      <c r="H152" s="24" t="str">
        <f aca="false">IF(B152="A",IF(ISNUMBER(D152),D152,""),IF(B152="B",IF(ISNUMBER(E152),E152,""),""))</f>
        <v/>
      </c>
      <c r="I152" s="24" t="str">
        <f aca="false">IF(B152="A",IF(ISNUMBER(E152),E152,""),IF(B152="B",IF(ISNUMBER(D152),D152,""),""))</f>
        <v/>
      </c>
    </row>
    <row r="153" customFormat="false" ht="15" hidden="false" customHeight="false" outlineLevel="0" collapsed="false">
      <c r="A153" s="8"/>
      <c r="B153" s="8"/>
      <c r="C153" s="8"/>
      <c r="D153" s="8"/>
      <c r="E153" s="8"/>
      <c r="F153" s="8"/>
      <c r="G153" s="24" t="str">
        <f aca="false">IF(C153="","",IF(C153=B153,1,0))</f>
        <v/>
      </c>
      <c r="H153" s="24" t="str">
        <f aca="false">IF(B153="A",IF(ISNUMBER(D153),D153,""),IF(B153="B",IF(ISNUMBER(E153),E153,""),""))</f>
        <v/>
      </c>
      <c r="I153" s="24" t="str">
        <f aca="false">IF(B153="A",IF(ISNUMBER(E153),E153,""),IF(B153="B",IF(ISNUMBER(D153),D153,""),""))</f>
        <v/>
      </c>
    </row>
    <row r="154" customFormat="false" ht="15" hidden="false" customHeight="false" outlineLevel="0" collapsed="false">
      <c r="A154" s="8"/>
      <c r="B154" s="8"/>
      <c r="C154" s="8"/>
      <c r="D154" s="8"/>
      <c r="E154" s="8"/>
      <c r="F154" s="8"/>
      <c r="G154" s="24" t="str">
        <f aca="false">IF(C154="","",IF(C154=B154,1,0))</f>
        <v/>
      </c>
      <c r="H154" s="24" t="str">
        <f aca="false">IF(B154="A",IF(ISNUMBER(D154),D154,""),IF(B154="B",IF(ISNUMBER(E154),E154,""),""))</f>
        <v/>
      </c>
      <c r="I154" s="24" t="str">
        <f aca="false">IF(B154="A",IF(ISNUMBER(E154),E154,""),IF(B154="B",IF(ISNUMBER(D154),D154,""),""))</f>
        <v/>
      </c>
    </row>
    <row r="155" customFormat="false" ht="15" hidden="false" customHeight="false" outlineLevel="0" collapsed="false">
      <c r="A155" s="8"/>
      <c r="B155" s="8"/>
      <c r="C155" s="8"/>
      <c r="D155" s="8"/>
      <c r="E155" s="8"/>
      <c r="F155" s="8"/>
      <c r="G155" s="24" t="str">
        <f aca="false">IF(C155="","",IF(C155=B155,1,0))</f>
        <v/>
      </c>
      <c r="H155" s="24" t="str">
        <f aca="false">IF(B155="A",IF(ISNUMBER(D155),D155,""),IF(B155="B",IF(ISNUMBER(E155),E155,""),""))</f>
        <v/>
      </c>
      <c r="I155" s="24" t="str">
        <f aca="false">IF(B155="A",IF(ISNUMBER(E155),E155,""),IF(B155="B",IF(ISNUMBER(D155),D155,""),""))</f>
        <v/>
      </c>
    </row>
    <row r="156" customFormat="false" ht="15" hidden="false" customHeight="false" outlineLevel="0" collapsed="false">
      <c r="A156" s="8"/>
      <c r="B156" s="8"/>
      <c r="C156" s="8"/>
      <c r="D156" s="8"/>
      <c r="E156" s="8"/>
      <c r="F156" s="8"/>
      <c r="G156" s="24" t="str">
        <f aca="false">IF(C156="","",IF(C156=B156,1,0))</f>
        <v/>
      </c>
      <c r="H156" s="24" t="str">
        <f aca="false">IF(B156="A",IF(ISNUMBER(D156),D156,""),IF(B156="B",IF(ISNUMBER(E156),E156,""),""))</f>
        <v/>
      </c>
      <c r="I156" s="24" t="str">
        <f aca="false">IF(B156="A",IF(ISNUMBER(E156),E156,""),IF(B156="B",IF(ISNUMBER(D156),D156,""),""))</f>
        <v/>
      </c>
    </row>
    <row r="157" customFormat="false" ht="15" hidden="false" customHeight="false" outlineLevel="0" collapsed="false">
      <c r="A157" s="8"/>
      <c r="B157" s="8"/>
      <c r="C157" s="8"/>
      <c r="D157" s="8"/>
      <c r="E157" s="8"/>
      <c r="F157" s="8"/>
      <c r="G157" s="24" t="str">
        <f aca="false">IF(C157="","",IF(C157=B157,1,0))</f>
        <v/>
      </c>
      <c r="H157" s="24" t="str">
        <f aca="false">IF(B157="A",IF(ISNUMBER(D157),D157,""),IF(B157="B",IF(ISNUMBER(E157),E157,""),""))</f>
        <v/>
      </c>
      <c r="I157" s="24" t="str">
        <f aca="false">IF(B157="A",IF(ISNUMBER(E157),E157,""),IF(B157="B",IF(ISNUMBER(D157),D157,""),""))</f>
        <v/>
      </c>
    </row>
    <row r="158" customFormat="false" ht="15" hidden="false" customHeight="false" outlineLevel="0" collapsed="false">
      <c r="A158" s="8"/>
      <c r="B158" s="8"/>
      <c r="C158" s="8"/>
      <c r="D158" s="8"/>
      <c r="E158" s="8"/>
      <c r="F158" s="8"/>
      <c r="G158" s="24" t="str">
        <f aca="false">IF(C158="","",IF(C158=B158,1,0))</f>
        <v/>
      </c>
      <c r="H158" s="24" t="str">
        <f aca="false">IF(B158="A",IF(ISNUMBER(D158),D158,""),IF(B158="B",IF(ISNUMBER(E158),E158,""),""))</f>
        <v/>
      </c>
      <c r="I158" s="24" t="str">
        <f aca="false">IF(B158="A",IF(ISNUMBER(E158),E158,""),IF(B158="B",IF(ISNUMBER(D158),D158,""),""))</f>
        <v/>
      </c>
    </row>
    <row r="159" customFormat="false" ht="15" hidden="false" customHeight="false" outlineLevel="0" collapsed="false">
      <c r="A159" s="8"/>
      <c r="B159" s="8"/>
      <c r="C159" s="8"/>
      <c r="D159" s="8"/>
      <c r="E159" s="8"/>
      <c r="F159" s="8"/>
      <c r="G159" s="24" t="str">
        <f aca="false">IF(C159="","",IF(C159=B159,1,0))</f>
        <v/>
      </c>
      <c r="H159" s="24" t="str">
        <f aca="false">IF(B159="A",IF(ISNUMBER(D159),D159,""),IF(B159="B",IF(ISNUMBER(E159),E159,""),""))</f>
        <v/>
      </c>
      <c r="I159" s="24" t="str">
        <f aca="false">IF(B159="A",IF(ISNUMBER(E159),E159,""),IF(B159="B",IF(ISNUMBER(D159),D159,""),""))</f>
        <v/>
      </c>
    </row>
    <row r="160" customFormat="false" ht="15" hidden="false" customHeight="false" outlineLevel="0" collapsed="false">
      <c r="A160" s="8"/>
      <c r="B160" s="8"/>
      <c r="C160" s="8"/>
      <c r="D160" s="8"/>
      <c r="E160" s="8"/>
      <c r="F160" s="8"/>
      <c r="G160" s="24" t="str">
        <f aca="false">IF(C160="","",IF(C160=B160,1,0))</f>
        <v/>
      </c>
      <c r="H160" s="24" t="str">
        <f aca="false">IF(B160="A",IF(ISNUMBER(D160),D160,""),IF(B160="B",IF(ISNUMBER(E160),E160,""),""))</f>
        <v/>
      </c>
      <c r="I160" s="24" t="str">
        <f aca="false">IF(B160="A",IF(ISNUMBER(E160),E160,""),IF(B160="B",IF(ISNUMBER(D160),D160,""),""))</f>
        <v/>
      </c>
    </row>
    <row r="161" customFormat="false" ht="15" hidden="false" customHeight="false" outlineLevel="0" collapsed="false">
      <c r="A161" s="8"/>
      <c r="B161" s="8"/>
      <c r="C161" s="8"/>
      <c r="D161" s="8"/>
      <c r="E161" s="8"/>
      <c r="F161" s="8"/>
      <c r="G161" s="24" t="str">
        <f aca="false">IF(C161="","",IF(C161=B161,1,0))</f>
        <v/>
      </c>
      <c r="H161" s="24" t="str">
        <f aca="false">IF(B161="A",IF(ISNUMBER(D161),D161,""),IF(B161="B",IF(ISNUMBER(E161),E161,""),""))</f>
        <v/>
      </c>
      <c r="I161" s="24" t="str">
        <f aca="false">IF(B161="A",IF(ISNUMBER(E161),E161,""),IF(B161="B",IF(ISNUMBER(D161),D161,""),""))</f>
        <v/>
      </c>
    </row>
    <row r="162" customFormat="false" ht="15" hidden="false" customHeight="false" outlineLevel="0" collapsed="false">
      <c r="A162" s="8"/>
      <c r="B162" s="8"/>
      <c r="C162" s="8"/>
      <c r="D162" s="8"/>
      <c r="E162" s="8"/>
      <c r="F162" s="8"/>
      <c r="G162" s="24" t="str">
        <f aca="false">IF(C162="","",IF(C162=B162,1,0))</f>
        <v/>
      </c>
      <c r="H162" s="24" t="str">
        <f aca="false">IF(B162="A",IF(ISNUMBER(D162),D162,""),IF(B162="B",IF(ISNUMBER(E162),E162,""),""))</f>
        <v/>
      </c>
      <c r="I162" s="24" t="str">
        <f aca="false">IF(B162="A",IF(ISNUMBER(E162),E162,""),IF(B162="B",IF(ISNUMBER(D162),D162,""),""))</f>
        <v/>
      </c>
    </row>
    <row r="163" customFormat="false" ht="15" hidden="false" customHeight="false" outlineLevel="0" collapsed="false">
      <c r="A163" s="8"/>
      <c r="B163" s="8"/>
      <c r="C163" s="8"/>
      <c r="D163" s="8"/>
      <c r="E163" s="8"/>
      <c r="F163" s="8"/>
      <c r="G163" s="24" t="str">
        <f aca="false">IF(C163="","",IF(C163=B163,1,0))</f>
        <v/>
      </c>
      <c r="H163" s="24" t="str">
        <f aca="false">IF(B163="A",IF(ISNUMBER(D163),D163,""),IF(B163="B",IF(ISNUMBER(E163),E163,""),""))</f>
        <v/>
      </c>
      <c r="I163" s="24" t="str">
        <f aca="false">IF(B163="A",IF(ISNUMBER(E163),E163,""),IF(B163="B",IF(ISNUMBER(D163),D163,""),""))</f>
        <v/>
      </c>
    </row>
    <row r="164" customFormat="false" ht="15" hidden="false" customHeight="false" outlineLevel="0" collapsed="false">
      <c r="A164" s="8"/>
      <c r="B164" s="8"/>
      <c r="C164" s="8"/>
      <c r="D164" s="8"/>
      <c r="E164" s="8"/>
      <c r="F164" s="8"/>
      <c r="G164" s="24" t="str">
        <f aca="false">IF(C164="","",IF(C164=B164,1,0))</f>
        <v/>
      </c>
      <c r="H164" s="24" t="str">
        <f aca="false">IF(B164="A",IF(ISNUMBER(D164),D164,""),IF(B164="B",IF(ISNUMBER(E164),E164,""),""))</f>
        <v/>
      </c>
      <c r="I164" s="24" t="str">
        <f aca="false">IF(B164="A",IF(ISNUMBER(E164),E164,""),IF(B164="B",IF(ISNUMBER(D164),D164,""),""))</f>
        <v/>
      </c>
    </row>
    <row r="165" customFormat="false" ht="15" hidden="false" customHeight="false" outlineLevel="0" collapsed="false">
      <c r="A165" s="8"/>
      <c r="B165" s="8"/>
      <c r="C165" s="8"/>
      <c r="D165" s="8"/>
      <c r="E165" s="8"/>
      <c r="F165" s="8"/>
      <c r="G165" s="24" t="str">
        <f aca="false">IF(C165="","",IF(C165=B165,1,0))</f>
        <v/>
      </c>
      <c r="H165" s="24" t="str">
        <f aca="false">IF(B165="A",IF(ISNUMBER(D165),D165,""),IF(B165="B",IF(ISNUMBER(E165),E165,""),""))</f>
        <v/>
      </c>
      <c r="I165" s="24" t="str">
        <f aca="false">IF(B165="A",IF(ISNUMBER(E165),E165,""),IF(B165="B",IF(ISNUMBER(D165),D165,""),""))</f>
        <v/>
      </c>
    </row>
    <row r="166" customFormat="false" ht="15" hidden="false" customHeight="false" outlineLevel="0" collapsed="false">
      <c r="A166" s="8"/>
      <c r="B166" s="8"/>
      <c r="C166" s="8"/>
      <c r="D166" s="8"/>
      <c r="E166" s="8"/>
      <c r="F166" s="8"/>
      <c r="G166" s="24" t="str">
        <f aca="false">IF(C166="","",IF(C166=B166,1,0))</f>
        <v/>
      </c>
      <c r="H166" s="24" t="str">
        <f aca="false">IF(B166="A",IF(ISNUMBER(D166),D166,""),IF(B166="B",IF(ISNUMBER(E166),E166,""),""))</f>
        <v/>
      </c>
      <c r="I166" s="24" t="str">
        <f aca="false">IF(B166="A",IF(ISNUMBER(E166),E166,""),IF(B166="B",IF(ISNUMBER(D166),D166,""),""))</f>
        <v/>
      </c>
    </row>
    <row r="167" customFormat="false" ht="15" hidden="false" customHeight="false" outlineLevel="0" collapsed="false">
      <c r="A167" s="8"/>
      <c r="B167" s="8"/>
      <c r="C167" s="8"/>
      <c r="D167" s="8"/>
      <c r="E167" s="8"/>
      <c r="F167" s="8"/>
      <c r="G167" s="24" t="str">
        <f aca="false">IF(C167="","",IF(C167=B167,1,0))</f>
        <v/>
      </c>
      <c r="H167" s="24" t="str">
        <f aca="false">IF(B167="A",IF(ISNUMBER(D167),D167,""),IF(B167="B",IF(ISNUMBER(E167),E167,""),""))</f>
        <v/>
      </c>
      <c r="I167" s="24" t="str">
        <f aca="false">IF(B167="A",IF(ISNUMBER(E167),E167,""),IF(B167="B",IF(ISNUMBER(D167),D167,""),""))</f>
        <v/>
      </c>
    </row>
    <row r="168" customFormat="false" ht="15" hidden="false" customHeight="false" outlineLevel="0" collapsed="false">
      <c r="A168" s="8"/>
      <c r="B168" s="8"/>
      <c r="C168" s="8"/>
      <c r="D168" s="8"/>
      <c r="E168" s="8"/>
      <c r="F168" s="8"/>
      <c r="G168" s="24" t="str">
        <f aca="false">IF(C168="","",IF(C168=B168,1,0))</f>
        <v/>
      </c>
      <c r="H168" s="24" t="str">
        <f aca="false">IF(B168="A",IF(ISNUMBER(D168),D168,""),IF(B168="B",IF(ISNUMBER(E168),E168,""),""))</f>
        <v/>
      </c>
      <c r="I168" s="24" t="str">
        <f aca="false">IF(B168="A",IF(ISNUMBER(E168),E168,""),IF(B168="B",IF(ISNUMBER(D168),D168,""),""))</f>
        <v/>
      </c>
    </row>
    <row r="169" customFormat="false" ht="15" hidden="false" customHeight="false" outlineLevel="0" collapsed="false">
      <c r="A169" s="8"/>
      <c r="B169" s="8"/>
      <c r="C169" s="8"/>
      <c r="D169" s="8"/>
      <c r="E169" s="8"/>
      <c r="F169" s="8"/>
      <c r="G169" s="24" t="str">
        <f aca="false">IF(C169="","",IF(C169=B169,1,0))</f>
        <v/>
      </c>
      <c r="H169" s="24" t="str">
        <f aca="false">IF(B169="A",IF(ISNUMBER(D169),D169,""),IF(B169="B",IF(ISNUMBER(E169),E169,""),""))</f>
        <v/>
      </c>
      <c r="I169" s="24" t="str">
        <f aca="false">IF(B169="A",IF(ISNUMBER(E169),E169,""),IF(B169="B",IF(ISNUMBER(D169),D169,""),""))</f>
        <v/>
      </c>
    </row>
    <row r="170" customFormat="false" ht="15" hidden="false" customHeight="false" outlineLevel="0" collapsed="false">
      <c r="A170" s="8"/>
      <c r="B170" s="8"/>
      <c r="C170" s="8"/>
      <c r="D170" s="8"/>
      <c r="E170" s="8"/>
      <c r="F170" s="8"/>
      <c r="G170" s="24" t="str">
        <f aca="false">IF(C170="","",IF(C170=B170,1,0))</f>
        <v/>
      </c>
      <c r="H170" s="24" t="str">
        <f aca="false">IF(B170="A",IF(ISNUMBER(D170),D170,""),IF(B170="B",IF(ISNUMBER(E170),E170,""),""))</f>
        <v/>
      </c>
      <c r="I170" s="24" t="str">
        <f aca="false">IF(B170="A",IF(ISNUMBER(E170),E170,""),IF(B170="B",IF(ISNUMBER(D170),D170,""),""))</f>
        <v/>
      </c>
    </row>
    <row r="171" customFormat="false" ht="15" hidden="false" customHeight="false" outlineLevel="0" collapsed="false">
      <c r="A171" s="8"/>
      <c r="B171" s="8"/>
      <c r="C171" s="8"/>
      <c r="D171" s="8"/>
      <c r="E171" s="8"/>
      <c r="F171" s="8"/>
      <c r="G171" s="24" t="str">
        <f aca="false">IF(C171="","",IF(C171=B171,1,0))</f>
        <v/>
      </c>
      <c r="H171" s="24" t="str">
        <f aca="false">IF(B171="A",IF(ISNUMBER(D171),D171,""),IF(B171="B",IF(ISNUMBER(E171),E171,""),""))</f>
        <v/>
      </c>
      <c r="I171" s="24" t="str">
        <f aca="false">IF(B171="A",IF(ISNUMBER(E171),E171,""),IF(B171="B",IF(ISNUMBER(D171),D171,""),""))</f>
        <v/>
      </c>
    </row>
    <row r="172" customFormat="false" ht="15" hidden="false" customHeight="false" outlineLevel="0" collapsed="false">
      <c r="A172" s="8"/>
      <c r="B172" s="8"/>
      <c r="C172" s="8"/>
      <c r="D172" s="8"/>
      <c r="E172" s="8"/>
      <c r="F172" s="8"/>
      <c r="G172" s="24" t="str">
        <f aca="false">IF(C172="","",IF(C172=B172,1,0))</f>
        <v/>
      </c>
      <c r="H172" s="24" t="str">
        <f aca="false">IF(B172="A",IF(ISNUMBER(D172),D172,""),IF(B172="B",IF(ISNUMBER(E172),E172,""),""))</f>
        <v/>
      </c>
      <c r="I172" s="24" t="str">
        <f aca="false">IF(B172="A",IF(ISNUMBER(E172),E172,""),IF(B172="B",IF(ISNUMBER(D172),D172,""),""))</f>
        <v/>
      </c>
    </row>
    <row r="173" customFormat="false" ht="15" hidden="false" customHeight="false" outlineLevel="0" collapsed="false">
      <c r="A173" s="8"/>
      <c r="B173" s="8"/>
      <c r="C173" s="8"/>
      <c r="D173" s="8"/>
      <c r="E173" s="8"/>
      <c r="F173" s="8"/>
      <c r="G173" s="24" t="str">
        <f aca="false">IF(C173="","",IF(C173=B173,1,0))</f>
        <v/>
      </c>
      <c r="H173" s="24" t="str">
        <f aca="false">IF(B173="A",IF(ISNUMBER(D173),D173,""),IF(B173="B",IF(ISNUMBER(E173),E173,""),""))</f>
        <v/>
      </c>
      <c r="I173" s="24" t="str">
        <f aca="false">IF(B173="A",IF(ISNUMBER(E173),E173,""),IF(B173="B",IF(ISNUMBER(D173),D173,""),""))</f>
        <v/>
      </c>
    </row>
    <row r="174" customFormat="false" ht="15" hidden="false" customHeight="false" outlineLevel="0" collapsed="false">
      <c r="A174" s="8"/>
      <c r="B174" s="8"/>
      <c r="C174" s="8"/>
      <c r="D174" s="8"/>
      <c r="E174" s="8"/>
      <c r="F174" s="8"/>
      <c r="G174" s="24" t="str">
        <f aca="false">IF(C174="","",IF(C174=B174,1,0))</f>
        <v/>
      </c>
      <c r="H174" s="24" t="str">
        <f aca="false">IF(B174="A",IF(ISNUMBER(D174),D174,""),IF(B174="B",IF(ISNUMBER(E174),E174,""),""))</f>
        <v/>
      </c>
      <c r="I174" s="24" t="str">
        <f aca="false">IF(B174="A",IF(ISNUMBER(E174),E174,""),IF(B174="B",IF(ISNUMBER(D174),D174,""),""))</f>
        <v/>
      </c>
    </row>
    <row r="175" customFormat="false" ht="15" hidden="false" customHeight="false" outlineLevel="0" collapsed="false">
      <c r="A175" s="8"/>
      <c r="B175" s="8"/>
      <c r="C175" s="8"/>
      <c r="D175" s="8"/>
      <c r="E175" s="8"/>
      <c r="F175" s="8"/>
      <c r="G175" s="24" t="str">
        <f aca="false">IF(C175="","",IF(C175=B175,1,0))</f>
        <v/>
      </c>
      <c r="H175" s="24" t="str">
        <f aca="false">IF(B175="A",IF(ISNUMBER(D175),D175,""),IF(B175="B",IF(ISNUMBER(E175),E175,""),""))</f>
        <v/>
      </c>
      <c r="I175" s="24" t="str">
        <f aca="false">IF(B175="A",IF(ISNUMBER(E175),E175,""),IF(B175="B",IF(ISNUMBER(D175),D175,""),""))</f>
        <v/>
      </c>
    </row>
    <row r="176" customFormat="false" ht="15" hidden="false" customHeight="false" outlineLevel="0" collapsed="false">
      <c r="A176" s="8"/>
      <c r="B176" s="8"/>
      <c r="C176" s="8"/>
      <c r="D176" s="8"/>
      <c r="E176" s="8"/>
      <c r="F176" s="8"/>
      <c r="G176" s="24" t="str">
        <f aca="false">IF(C176="","",IF(C176=B176,1,0))</f>
        <v/>
      </c>
      <c r="H176" s="24" t="str">
        <f aca="false">IF(B176="A",IF(ISNUMBER(D176),D176,""),IF(B176="B",IF(ISNUMBER(E176),E176,""),""))</f>
        <v/>
      </c>
      <c r="I176" s="24" t="str">
        <f aca="false">IF(B176="A",IF(ISNUMBER(E176),E176,""),IF(B176="B",IF(ISNUMBER(D176),D176,""),""))</f>
        <v/>
      </c>
    </row>
    <row r="177" customFormat="false" ht="15" hidden="false" customHeight="false" outlineLevel="0" collapsed="false">
      <c r="A177" s="8"/>
      <c r="B177" s="8"/>
      <c r="C177" s="8"/>
      <c r="D177" s="8"/>
      <c r="E177" s="8"/>
      <c r="F177" s="8"/>
      <c r="G177" s="24" t="str">
        <f aca="false">IF(C177="","",IF(C177=B177,1,0))</f>
        <v/>
      </c>
      <c r="H177" s="24" t="str">
        <f aca="false">IF(B177="A",IF(ISNUMBER(D177),D177,""),IF(B177="B",IF(ISNUMBER(E177),E177,""),""))</f>
        <v/>
      </c>
      <c r="I177" s="24" t="str">
        <f aca="false">IF(B177="A",IF(ISNUMBER(E177),E177,""),IF(B177="B",IF(ISNUMBER(D177),D177,""),""))</f>
        <v/>
      </c>
    </row>
    <row r="178" customFormat="false" ht="15" hidden="false" customHeight="false" outlineLevel="0" collapsed="false">
      <c r="A178" s="8"/>
      <c r="B178" s="8"/>
      <c r="C178" s="8"/>
      <c r="D178" s="8"/>
      <c r="E178" s="8"/>
      <c r="F178" s="8"/>
      <c r="G178" s="24" t="str">
        <f aca="false">IF(C178="","",IF(C178=B178,1,0))</f>
        <v/>
      </c>
      <c r="H178" s="24" t="str">
        <f aca="false">IF(B178="A",IF(ISNUMBER(D178),D178,""),IF(B178="B",IF(ISNUMBER(E178),E178,""),""))</f>
        <v/>
      </c>
      <c r="I178" s="24" t="str">
        <f aca="false">IF(B178="A",IF(ISNUMBER(E178),E178,""),IF(B178="B",IF(ISNUMBER(D178),D178,""),""))</f>
        <v/>
      </c>
    </row>
    <row r="179" customFormat="false" ht="15" hidden="false" customHeight="false" outlineLevel="0" collapsed="false">
      <c r="A179" s="8"/>
      <c r="B179" s="8"/>
      <c r="C179" s="8"/>
      <c r="D179" s="8"/>
      <c r="E179" s="8"/>
      <c r="F179" s="8"/>
      <c r="G179" s="24" t="str">
        <f aca="false">IF(C179="","",IF(C179=B179,1,0))</f>
        <v/>
      </c>
      <c r="H179" s="24" t="str">
        <f aca="false">IF(B179="A",IF(ISNUMBER(D179),D179,""),IF(B179="B",IF(ISNUMBER(E179),E179,""),""))</f>
        <v/>
      </c>
      <c r="I179" s="24" t="str">
        <f aca="false">IF(B179="A",IF(ISNUMBER(E179),E179,""),IF(B179="B",IF(ISNUMBER(D179),D179,""),""))</f>
        <v/>
      </c>
    </row>
    <row r="180" customFormat="false" ht="15" hidden="false" customHeight="false" outlineLevel="0" collapsed="false">
      <c r="A180" s="8"/>
      <c r="B180" s="8"/>
      <c r="C180" s="8"/>
      <c r="D180" s="8"/>
      <c r="E180" s="8"/>
      <c r="F180" s="8"/>
      <c r="G180" s="24" t="str">
        <f aca="false">IF(C180="","",IF(C180=B180,1,0))</f>
        <v/>
      </c>
      <c r="H180" s="24" t="str">
        <f aca="false">IF(B180="A",IF(ISNUMBER(D180),D180,""),IF(B180="B",IF(ISNUMBER(E180),E180,""),""))</f>
        <v/>
      </c>
      <c r="I180" s="24" t="str">
        <f aca="false">IF(B180="A",IF(ISNUMBER(E180),E180,""),IF(B180="B",IF(ISNUMBER(D180),D180,""),""))</f>
        <v/>
      </c>
    </row>
    <row r="181" customFormat="false" ht="15" hidden="false" customHeight="false" outlineLevel="0" collapsed="false">
      <c r="A181" s="8"/>
      <c r="B181" s="8"/>
      <c r="C181" s="8"/>
      <c r="D181" s="8"/>
      <c r="E181" s="8"/>
      <c r="F181" s="8"/>
      <c r="G181" s="24" t="str">
        <f aca="false">IF(C181="","",IF(C181=B181,1,0))</f>
        <v/>
      </c>
      <c r="H181" s="24" t="str">
        <f aca="false">IF(B181="A",IF(ISNUMBER(D181),D181,""),IF(B181="B",IF(ISNUMBER(E181),E181,""),""))</f>
        <v/>
      </c>
      <c r="I181" s="24" t="str">
        <f aca="false">IF(B181="A",IF(ISNUMBER(E181),E181,""),IF(B181="B",IF(ISNUMBER(D181),D181,""),""))</f>
        <v/>
      </c>
    </row>
    <row r="182" customFormat="false" ht="15" hidden="false" customHeight="false" outlineLevel="0" collapsed="false">
      <c r="A182" s="8"/>
      <c r="B182" s="8"/>
      <c r="C182" s="8"/>
      <c r="D182" s="8"/>
      <c r="E182" s="8"/>
      <c r="F182" s="8"/>
      <c r="G182" s="24" t="str">
        <f aca="false">IF(C182="","",IF(C182=B182,1,0))</f>
        <v/>
      </c>
      <c r="H182" s="24" t="str">
        <f aca="false">IF(B182="A",IF(ISNUMBER(D182),D182,""),IF(B182="B",IF(ISNUMBER(E182),E182,""),""))</f>
        <v/>
      </c>
      <c r="I182" s="24" t="str">
        <f aca="false">IF(B182="A",IF(ISNUMBER(E182),E182,""),IF(B182="B",IF(ISNUMBER(D182),D182,""),""))</f>
        <v/>
      </c>
    </row>
    <row r="183" customFormat="false" ht="15" hidden="false" customHeight="false" outlineLevel="0" collapsed="false">
      <c r="A183" s="8"/>
      <c r="B183" s="8"/>
      <c r="C183" s="8"/>
      <c r="D183" s="8"/>
      <c r="E183" s="8"/>
      <c r="F183" s="8"/>
      <c r="G183" s="24" t="str">
        <f aca="false">IF(C183="","",IF(C183=B183,1,0))</f>
        <v/>
      </c>
      <c r="H183" s="24" t="str">
        <f aca="false">IF(B183="A",IF(ISNUMBER(D183),D183,""),IF(B183="B",IF(ISNUMBER(E183),E183,""),""))</f>
        <v/>
      </c>
      <c r="I183" s="24" t="str">
        <f aca="false">IF(B183="A",IF(ISNUMBER(E183),E183,""),IF(B183="B",IF(ISNUMBER(D183),D183,""),""))</f>
        <v/>
      </c>
    </row>
    <row r="184" customFormat="false" ht="15" hidden="false" customHeight="false" outlineLevel="0" collapsed="false">
      <c r="A184" s="8"/>
      <c r="B184" s="8"/>
      <c r="C184" s="8"/>
      <c r="D184" s="8"/>
      <c r="E184" s="8"/>
      <c r="F184" s="8"/>
      <c r="G184" s="24" t="str">
        <f aca="false">IF(C184="","",IF(C184=B184,1,0))</f>
        <v/>
      </c>
      <c r="H184" s="24" t="str">
        <f aca="false">IF(B184="A",IF(ISNUMBER(D184),D184,""),IF(B184="B",IF(ISNUMBER(E184),E184,""),""))</f>
        <v/>
      </c>
      <c r="I184" s="24" t="str">
        <f aca="false">IF(B184="A",IF(ISNUMBER(E184),E184,""),IF(B184="B",IF(ISNUMBER(D184),D184,""),""))</f>
        <v/>
      </c>
    </row>
    <row r="185" customFormat="false" ht="15" hidden="false" customHeight="false" outlineLevel="0" collapsed="false">
      <c r="A185" s="8"/>
      <c r="B185" s="8"/>
      <c r="C185" s="8"/>
      <c r="D185" s="8"/>
      <c r="E185" s="8"/>
      <c r="F185" s="8"/>
      <c r="G185" s="24" t="str">
        <f aca="false">IF(C185="","",IF(C185=B185,1,0))</f>
        <v/>
      </c>
      <c r="H185" s="24" t="str">
        <f aca="false">IF(B185="A",IF(ISNUMBER(D185),D185,""),IF(B185="B",IF(ISNUMBER(E185),E185,""),""))</f>
        <v/>
      </c>
      <c r="I185" s="24" t="str">
        <f aca="false">IF(B185="A",IF(ISNUMBER(E185),E185,""),IF(B185="B",IF(ISNUMBER(D185),D185,""),""))</f>
        <v/>
      </c>
    </row>
    <row r="186" customFormat="false" ht="15" hidden="false" customHeight="false" outlineLevel="0" collapsed="false">
      <c r="A186" s="8"/>
      <c r="B186" s="8"/>
      <c r="C186" s="8"/>
      <c r="D186" s="8"/>
      <c r="E186" s="8"/>
      <c r="F186" s="8"/>
      <c r="G186" s="24" t="str">
        <f aca="false">IF(C186="","",IF(C186=B186,1,0))</f>
        <v/>
      </c>
      <c r="H186" s="24" t="str">
        <f aca="false">IF(B186="A",IF(ISNUMBER(D186),D186,""),IF(B186="B",IF(ISNUMBER(E186),E186,""),""))</f>
        <v/>
      </c>
      <c r="I186" s="24" t="str">
        <f aca="false">IF(B186="A",IF(ISNUMBER(E186),E186,""),IF(B186="B",IF(ISNUMBER(D186),D186,""),""))</f>
        <v/>
      </c>
    </row>
    <row r="187" customFormat="false" ht="15" hidden="false" customHeight="false" outlineLevel="0" collapsed="false">
      <c r="A187" s="8"/>
      <c r="B187" s="8"/>
      <c r="C187" s="8"/>
      <c r="D187" s="8"/>
      <c r="E187" s="8"/>
      <c r="F187" s="8"/>
      <c r="G187" s="24" t="str">
        <f aca="false">IF(C187="","",IF(C187=B187,1,0))</f>
        <v/>
      </c>
      <c r="H187" s="24" t="str">
        <f aca="false">IF(B187="A",IF(ISNUMBER(D187),D187,""),IF(B187="B",IF(ISNUMBER(E187),E187,""),""))</f>
        <v/>
      </c>
      <c r="I187" s="24" t="str">
        <f aca="false">IF(B187="A",IF(ISNUMBER(E187),E187,""),IF(B187="B",IF(ISNUMBER(D187),D187,""),""))</f>
        <v/>
      </c>
    </row>
    <row r="188" customFormat="false" ht="15" hidden="false" customHeight="false" outlineLevel="0" collapsed="false">
      <c r="A188" s="8"/>
      <c r="B188" s="8"/>
      <c r="C188" s="8"/>
      <c r="D188" s="8"/>
      <c r="E188" s="8"/>
      <c r="F188" s="8"/>
      <c r="G188" s="24" t="str">
        <f aca="false">IF(C188="","",IF(C188=B188,1,0))</f>
        <v/>
      </c>
      <c r="H188" s="24" t="str">
        <f aca="false">IF(B188="A",IF(ISNUMBER(D188),D188,""),IF(B188="B",IF(ISNUMBER(E188),E188,""),""))</f>
        <v/>
      </c>
      <c r="I188" s="24" t="str">
        <f aca="false">IF(B188="A",IF(ISNUMBER(E188),E188,""),IF(B188="B",IF(ISNUMBER(D188),D188,""),""))</f>
        <v/>
      </c>
    </row>
    <row r="189" customFormat="false" ht="15" hidden="false" customHeight="false" outlineLevel="0" collapsed="false">
      <c r="A189" s="8"/>
      <c r="B189" s="8"/>
      <c r="C189" s="8"/>
      <c r="D189" s="8"/>
      <c r="E189" s="8"/>
      <c r="F189" s="8"/>
      <c r="G189" s="24" t="str">
        <f aca="false">IF(C189="","",IF(C189=B189,1,0))</f>
        <v/>
      </c>
      <c r="H189" s="24" t="str">
        <f aca="false">IF(B189="A",IF(ISNUMBER(D189),D189,""),IF(B189="B",IF(ISNUMBER(E189),E189,""),""))</f>
        <v/>
      </c>
      <c r="I189" s="24" t="str">
        <f aca="false">IF(B189="A",IF(ISNUMBER(E189),E189,""),IF(B189="B",IF(ISNUMBER(D189),D189,""),""))</f>
        <v/>
      </c>
    </row>
    <row r="190" customFormat="false" ht="15" hidden="false" customHeight="false" outlineLevel="0" collapsed="false">
      <c r="A190" s="8"/>
      <c r="B190" s="8"/>
      <c r="C190" s="8"/>
      <c r="D190" s="8"/>
      <c r="E190" s="8"/>
      <c r="F190" s="8"/>
      <c r="G190" s="24" t="str">
        <f aca="false">IF(C190="","",IF(C190=B190,1,0))</f>
        <v/>
      </c>
      <c r="H190" s="24" t="str">
        <f aca="false">IF(B190="A",IF(ISNUMBER(D190),D190,""),IF(B190="B",IF(ISNUMBER(E190),E190,""),""))</f>
        <v/>
      </c>
      <c r="I190" s="24" t="str">
        <f aca="false">IF(B190="A",IF(ISNUMBER(E190),E190,""),IF(B190="B",IF(ISNUMBER(D190),D190,""),""))</f>
        <v/>
      </c>
    </row>
    <row r="191" customFormat="false" ht="15" hidden="false" customHeight="false" outlineLevel="0" collapsed="false">
      <c r="A191" s="8"/>
      <c r="B191" s="8"/>
      <c r="C191" s="8"/>
      <c r="D191" s="8"/>
      <c r="E191" s="8"/>
      <c r="F191" s="8"/>
      <c r="G191" s="24" t="str">
        <f aca="false">IF(C191="","",IF(C191=B191,1,0))</f>
        <v/>
      </c>
      <c r="H191" s="24" t="str">
        <f aca="false">IF(B191="A",IF(ISNUMBER(D191),D191,""),IF(B191="B",IF(ISNUMBER(E191),E191,""),""))</f>
        <v/>
      </c>
      <c r="I191" s="24" t="str">
        <f aca="false">IF(B191="A",IF(ISNUMBER(E191),E191,""),IF(B191="B",IF(ISNUMBER(D191),D191,""),""))</f>
        <v/>
      </c>
    </row>
    <row r="192" customFormat="false" ht="15" hidden="false" customHeight="false" outlineLevel="0" collapsed="false">
      <c r="A192" s="8"/>
      <c r="B192" s="8"/>
      <c r="C192" s="8"/>
      <c r="D192" s="8"/>
      <c r="E192" s="8"/>
      <c r="F192" s="8"/>
      <c r="G192" s="24" t="str">
        <f aca="false">IF(C192="","",IF(C192=B192,1,0))</f>
        <v/>
      </c>
      <c r="H192" s="24" t="str">
        <f aca="false">IF(B192="A",IF(ISNUMBER(D192),D192,""),IF(B192="B",IF(ISNUMBER(E192),E192,""),""))</f>
        <v/>
      </c>
      <c r="I192" s="24" t="str">
        <f aca="false">IF(B192="A",IF(ISNUMBER(E192),E192,""),IF(B192="B",IF(ISNUMBER(D192),D192,""),""))</f>
        <v/>
      </c>
    </row>
    <row r="193" customFormat="false" ht="15" hidden="false" customHeight="false" outlineLevel="0" collapsed="false">
      <c r="A193" s="8"/>
      <c r="B193" s="8"/>
      <c r="C193" s="8"/>
      <c r="D193" s="8"/>
      <c r="E193" s="8"/>
      <c r="F193" s="8"/>
      <c r="G193" s="24" t="str">
        <f aca="false">IF(C193="","",IF(C193=B193,1,0))</f>
        <v/>
      </c>
      <c r="H193" s="24" t="str">
        <f aca="false">IF(B193="A",IF(ISNUMBER(D193),D193,""),IF(B193="B",IF(ISNUMBER(E193),E193,""),""))</f>
        <v/>
      </c>
      <c r="I193" s="24" t="str">
        <f aca="false">IF(B193="A",IF(ISNUMBER(E193),E193,""),IF(B193="B",IF(ISNUMBER(D193),D193,""),""))</f>
        <v/>
      </c>
    </row>
    <row r="194" customFormat="false" ht="15" hidden="false" customHeight="false" outlineLevel="0" collapsed="false">
      <c r="A194" s="8"/>
      <c r="B194" s="8"/>
      <c r="C194" s="8"/>
      <c r="D194" s="8"/>
      <c r="E194" s="8"/>
      <c r="F194" s="8"/>
      <c r="G194" s="24" t="str">
        <f aca="false">IF(C194="","",IF(C194=B194,1,0))</f>
        <v/>
      </c>
      <c r="H194" s="24" t="str">
        <f aca="false">IF(B194="A",IF(ISNUMBER(D194),D194,""),IF(B194="B",IF(ISNUMBER(E194),E194,""),""))</f>
        <v/>
      </c>
      <c r="I194" s="24" t="str">
        <f aca="false">IF(B194="A",IF(ISNUMBER(E194),E194,""),IF(B194="B",IF(ISNUMBER(D194),D194,""),""))</f>
        <v/>
      </c>
    </row>
    <row r="195" customFormat="false" ht="15" hidden="false" customHeight="false" outlineLevel="0" collapsed="false">
      <c r="A195" s="8"/>
      <c r="B195" s="8"/>
      <c r="C195" s="8"/>
      <c r="D195" s="8"/>
      <c r="E195" s="8"/>
      <c r="F195" s="8"/>
      <c r="G195" s="24" t="str">
        <f aca="false">IF(C195="","",IF(C195=B195,1,0))</f>
        <v/>
      </c>
      <c r="H195" s="24" t="str">
        <f aca="false">IF(B195="A",IF(ISNUMBER(D195),D195,""),IF(B195="B",IF(ISNUMBER(E195),E195,""),""))</f>
        <v/>
      </c>
      <c r="I195" s="24" t="str">
        <f aca="false">IF(B195="A",IF(ISNUMBER(E195),E195,""),IF(B195="B",IF(ISNUMBER(D195),D195,""),""))</f>
        <v/>
      </c>
    </row>
    <row r="196" customFormat="false" ht="15" hidden="false" customHeight="false" outlineLevel="0" collapsed="false">
      <c r="A196" s="8"/>
      <c r="B196" s="8"/>
      <c r="C196" s="8"/>
      <c r="D196" s="8"/>
      <c r="E196" s="8"/>
      <c r="F196" s="8"/>
      <c r="G196" s="24" t="str">
        <f aca="false">IF(C196="","",IF(C196=B196,1,0))</f>
        <v/>
      </c>
      <c r="H196" s="24" t="str">
        <f aca="false">IF(B196="A",IF(ISNUMBER(D196),D196,""),IF(B196="B",IF(ISNUMBER(E196),E196,""),""))</f>
        <v/>
      </c>
      <c r="I196" s="24" t="str">
        <f aca="false">IF(B196="A",IF(ISNUMBER(E196),E196,""),IF(B196="B",IF(ISNUMBER(D196),D196,""),""))</f>
        <v/>
      </c>
    </row>
    <row r="197" customFormat="false" ht="15" hidden="false" customHeight="false" outlineLevel="0" collapsed="false">
      <c r="A197" s="8"/>
      <c r="B197" s="8"/>
      <c r="C197" s="8"/>
      <c r="D197" s="8"/>
      <c r="E197" s="8"/>
      <c r="F197" s="8"/>
      <c r="G197" s="24" t="str">
        <f aca="false">IF(C197="","",IF(C197=B197,1,0))</f>
        <v/>
      </c>
      <c r="H197" s="24" t="str">
        <f aca="false">IF(B197="A",IF(ISNUMBER(D197),D197,""),IF(B197="B",IF(ISNUMBER(E197),E197,""),""))</f>
        <v/>
      </c>
      <c r="I197" s="24" t="str">
        <f aca="false">IF(B197="A",IF(ISNUMBER(E197),E197,""),IF(B197="B",IF(ISNUMBER(D197),D197,""),""))</f>
        <v/>
      </c>
    </row>
    <row r="198" customFormat="false" ht="15" hidden="false" customHeight="false" outlineLevel="0" collapsed="false">
      <c r="A198" s="8"/>
      <c r="B198" s="8"/>
      <c r="C198" s="8"/>
      <c r="D198" s="8"/>
      <c r="E198" s="8"/>
      <c r="F198" s="8"/>
      <c r="G198" s="24" t="str">
        <f aca="false">IF(C198="","",IF(C198=B198,1,0))</f>
        <v/>
      </c>
      <c r="H198" s="24" t="str">
        <f aca="false">IF(B198="A",IF(ISNUMBER(D198),D198,""),IF(B198="B",IF(ISNUMBER(E198),E198,""),""))</f>
        <v/>
      </c>
      <c r="I198" s="24" t="str">
        <f aca="false">IF(B198="A",IF(ISNUMBER(E198),E198,""),IF(B198="B",IF(ISNUMBER(D198),D198,""),""))</f>
        <v/>
      </c>
    </row>
    <row r="199" customFormat="false" ht="15" hidden="false" customHeight="false" outlineLevel="0" collapsed="false">
      <c r="A199" s="8"/>
      <c r="B199" s="8"/>
      <c r="C199" s="8"/>
      <c r="D199" s="8"/>
      <c r="E199" s="8"/>
      <c r="F199" s="8"/>
      <c r="G199" s="24" t="str">
        <f aca="false">IF(C199="","",IF(C199=B199,1,0))</f>
        <v/>
      </c>
      <c r="H199" s="24" t="str">
        <f aca="false">IF(B199="A",IF(ISNUMBER(D199),D199,""),IF(B199="B",IF(ISNUMBER(E199),E199,""),""))</f>
        <v/>
      </c>
      <c r="I199" s="24" t="str">
        <f aca="false">IF(B199="A",IF(ISNUMBER(E199),E199,""),IF(B199="B",IF(ISNUMBER(D199),D199,""),""))</f>
        <v/>
      </c>
    </row>
    <row r="200" customFormat="false" ht="15" hidden="false" customHeight="false" outlineLevel="0" collapsed="false">
      <c r="A200" s="8"/>
      <c r="B200" s="8"/>
      <c r="C200" s="8"/>
      <c r="D200" s="8"/>
      <c r="E200" s="8"/>
      <c r="F200" s="8"/>
      <c r="G200" s="24" t="str">
        <f aca="false">IF(C200="","",IF(C200=B200,1,0))</f>
        <v/>
      </c>
      <c r="H200" s="24" t="str">
        <f aca="false">IF(B200="A",IF(ISNUMBER(D200),D200,""),IF(B200="B",IF(ISNUMBER(E200),E200,""),""))</f>
        <v/>
      </c>
      <c r="I200" s="24" t="str">
        <f aca="false">IF(B200="A",IF(ISNUMBER(E200),E200,""),IF(B200="B",IF(ISNUMBER(D200),D200,""),""))</f>
        <v/>
      </c>
    </row>
    <row r="201" customFormat="false" ht="15" hidden="false" customHeight="false" outlineLevel="0" collapsed="false">
      <c r="A201" s="8"/>
      <c r="B201" s="8"/>
      <c r="C201" s="8"/>
      <c r="D201" s="8"/>
      <c r="E201" s="8"/>
      <c r="F201" s="8"/>
      <c r="G201" s="24" t="str">
        <f aca="false">IF(C201="","",IF(C201=B201,1,0))</f>
        <v/>
      </c>
      <c r="H201" s="24" t="str">
        <f aca="false">IF(B201="A",IF(ISNUMBER(D201),D201,""),IF(B201="B",IF(ISNUMBER(E201),E201,""),""))</f>
        <v/>
      </c>
      <c r="I201" s="24" t="str">
        <f aca="false">IF(B201="A",IF(ISNUMBER(E201),E201,""),IF(B201="B",IF(ISNUMBER(D201),D201,""),""))</f>
        <v/>
      </c>
    </row>
    <row r="202" customFormat="false" ht="15" hidden="false" customHeight="false" outlineLevel="0" collapsed="false">
      <c r="A202" s="8"/>
      <c r="B202" s="8"/>
      <c r="C202" s="8"/>
      <c r="D202" s="8"/>
      <c r="E202" s="8"/>
      <c r="F202" s="8"/>
      <c r="G202" s="24" t="str">
        <f aca="false">IF(C202="","",IF(C202=B202,1,0))</f>
        <v/>
      </c>
      <c r="H202" s="24" t="str">
        <f aca="false">IF(B202="A",IF(ISNUMBER(D202),D202,""),IF(B202="B",IF(ISNUMBER(E202),E202,""),""))</f>
        <v/>
      </c>
      <c r="I202" s="24" t="str">
        <f aca="false">IF(B202="A",IF(ISNUMBER(E202),E202,""),IF(B202="B",IF(ISNUMBER(D202),D202,""),""))</f>
        <v/>
      </c>
    </row>
    <row r="203" customFormat="false" ht="15" hidden="false" customHeight="false" outlineLevel="0" collapsed="false">
      <c r="A203" s="8"/>
      <c r="B203" s="8"/>
      <c r="C203" s="8"/>
      <c r="D203" s="8"/>
      <c r="E203" s="8"/>
      <c r="F203" s="8"/>
      <c r="G203" s="24" t="str">
        <f aca="false">IF(C203="","",IF(C203=B203,1,0))</f>
        <v/>
      </c>
      <c r="H203" s="24" t="str">
        <f aca="false">IF(B203="A",IF(ISNUMBER(D203),D203,""),IF(B203="B",IF(ISNUMBER(E203),E203,""),""))</f>
        <v/>
      </c>
      <c r="I203" s="24" t="str">
        <f aca="false">IF(B203="A",IF(ISNUMBER(E203),E203,""),IF(B203="B",IF(ISNUMBER(D203),D203,""),""))</f>
        <v/>
      </c>
    </row>
    <row r="204" customFormat="false" ht="15" hidden="false" customHeight="false" outlineLevel="0" collapsed="false">
      <c r="A204" s="8"/>
      <c r="B204" s="8"/>
      <c r="C204" s="8"/>
      <c r="D204" s="8"/>
      <c r="E204" s="8"/>
      <c r="F204" s="8"/>
      <c r="G204" s="24" t="str">
        <f aca="false">IF(C204="","",IF(C204=B204,1,0))</f>
        <v/>
      </c>
      <c r="H204" s="24" t="str">
        <f aca="false">IF(B204="A",IF(ISNUMBER(D204),D204,""),IF(B204="B",IF(ISNUMBER(E204),E204,""),""))</f>
        <v/>
      </c>
      <c r="I204" s="24" t="str">
        <f aca="false">IF(B204="A",IF(ISNUMBER(E204),E204,""),IF(B204="B",IF(ISNUMBER(D204),D204,""),""))</f>
        <v/>
      </c>
    </row>
    <row r="205" customFormat="false" ht="15" hidden="false" customHeight="false" outlineLevel="0" collapsed="false">
      <c r="A205" s="8"/>
      <c r="B205" s="8"/>
      <c r="C205" s="8"/>
      <c r="D205" s="8"/>
      <c r="E205" s="8"/>
      <c r="F205" s="8"/>
      <c r="G205" s="24" t="str">
        <f aca="false">IF(C205="","",IF(C205=B205,1,0))</f>
        <v/>
      </c>
      <c r="H205" s="24" t="str">
        <f aca="false">IF(B205="A",IF(ISNUMBER(D205),D205,""),IF(B205="B",IF(ISNUMBER(E205),E205,""),""))</f>
        <v/>
      </c>
      <c r="I205" s="24" t="str">
        <f aca="false">IF(B205="A",IF(ISNUMBER(E205),E205,""),IF(B205="B",IF(ISNUMBER(D205),D205,""),""))</f>
        <v/>
      </c>
    </row>
  </sheetData>
  <dataValidations count="3">
    <dataValidation allowBlank="true" errorStyle="stop" operator="between" showDropDown="false" showErrorMessage="false" showInputMessage="false" sqref="D6:E205" type="whole">
      <formula1>1</formula1>
      <formula2>5</formula2>
    </dataValidation>
    <dataValidation allowBlank="true" errorStyle="stop" operator="between" showDropDown="false" showErrorMessage="false" showInputMessage="false" sqref="B6:B205" type="list">
      <formula1>"A,B"</formula1>
      <formula2>0</formula2>
    </dataValidation>
    <dataValidation allowBlank="true" errorStyle="stop" operator="between" showDropDown="false" showErrorMessage="false" showInputMessage="false" sqref="C6:C205" type="list">
      <formula1>"A,B"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40"/>
  </cols>
  <sheetData>
    <row r="1" customFormat="false" ht="17.35" hidden="false" customHeight="false" outlineLevel="0" collapsed="false">
      <c r="A1" s="5" t="s">
        <v>156</v>
      </c>
    </row>
    <row r="2" customFormat="false" ht="15" hidden="false" customHeight="false" outlineLevel="0" collapsed="false">
      <c r="A2" s="6" t="s">
        <v>157</v>
      </c>
    </row>
    <row r="3" customFormat="false" ht="15" hidden="false" customHeight="false" outlineLevel="0" collapsed="false">
      <c r="A3" s="20" t="s">
        <v>72</v>
      </c>
    </row>
    <row r="4" customFormat="false" ht="15" hidden="false" customHeight="false" outlineLevel="0" collapsed="false">
      <c r="A4" s="21" t="s">
        <v>73</v>
      </c>
      <c r="B4" s="21" t="s">
        <v>158</v>
      </c>
      <c r="C4" s="21" t="s">
        <v>159</v>
      </c>
      <c r="D4" s="21" t="s">
        <v>160</v>
      </c>
      <c r="E4" s="21" t="s">
        <v>161</v>
      </c>
      <c r="F4" s="21" t="s">
        <v>79</v>
      </c>
      <c r="G4" s="21" t="n">
        <v>2</v>
      </c>
      <c r="H4" s="21" t="n">
        <v>1</v>
      </c>
      <c r="I4" s="21" t="n">
        <v>1</v>
      </c>
      <c r="J4" s="21" t="s">
        <v>78</v>
      </c>
      <c r="K4" s="21" t="s">
        <v>162</v>
      </c>
    </row>
    <row r="5" customFormat="false" ht="42" hidden="false" customHeight="true" outlineLevel="0" collapsed="false">
      <c r="A5" s="22" t="s">
        <v>134</v>
      </c>
      <c r="B5" s="22" t="s">
        <v>163</v>
      </c>
      <c r="C5" s="22" t="s">
        <v>164</v>
      </c>
      <c r="D5" s="22" t="s">
        <v>165</v>
      </c>
      <c r="E5" s="22" t="s">
        <v>166</v>
      </c>
      <c r="F5" s="22" t="s">
        <v>167</v>
      </c>
      <c r="G5" s="22" t="s">
        <v>168</v>
      </c>
      <c r="H5" s="22" t="s">
        <v>169</v>
      </c>
      <c r="I5" s="22" t="s">
        <v>170</v>
      </c>
      <c r="J5" s="22" t="s">
        <v>171</v>
      </c>
      <c r="K5" s="22" t="s">
        <v>172</v>
      </c>
    </row>
    <row r="6" customFormat="false" ht="15" hidden="false" customHeight="false" outlineLevel="0" collapsed="false">
      <c r="A6" s="8" t="s">
        <v>110</v>
      </c>
      <c r="B6" s="8"/>
      <c r="C6" s="8"/>
      <c r="D6" s="8"/>
      <c r="E6" s="8"/>
      <c r="F6" s="8"/>
      <c r="G6" s="8"/>
      <c r="H6" s="8"/>
      <c r="I6" s="8"/>
      <c r="J6" s="8"/>
      <c r="K6" s="8"/>
    </row>
    <row r="7" customFormat="false" ht="15" hidden="false" customHeight="false" outlineLevel="0" collapsed="false">
      <c r="A7" s="8" t="s">
        <v>111</v>
      </c>
      <c r="B7" s="8"/>
      <c r="C7" s="8"/>
      <c r="D7" s="8"/>
      <c r="E7" s="8"/>
      <c r="F7" s="8"/>
      <c r="G7" s="8"/>
      <c r="H7" s="8"/>
      <c r="I7" s="8"/>
      <c r="J7" s="8"/>
      <c r="K7" s="8"/>
    </row>
    <row r="8" customFormat="false" ht="15" hidden="false" customHeight="false" outlineLevel="0" collapsed="false">
      <c r="A8" s="8" t="s">
        <v>112</v>
      </c>
      <c r="B8" s="8"/>
      <c r="C8" s="8"/>
      <c r="D8" s="8"/>
      <c r="E8" s="8"/>
      <c r="F8" s="8"/>
      <c r="G8" s="8"/>
      <c r="H8" s="8"/>
      <c r="I8" s="8"/>
      <c r="J8" s="8"/>
      <c r="K8" s="8"/>
    </row>
    <row r="9" customFormat="false" ht="15" hidden="false" customHeight="false" outlineLevel="0" collapsed="false">
      <c r="A9" s="8" t="s">
        <v>113</v>
      </c>
      <c r="B9" s="8"/>
      <c r="C9" s="8"/>
      <c r="D9" s="8"/>
      <c r="E9" s="8"/>
      <c r="F9" s="8"/>
      <c r="G9" s="8"/>
      <c r="H9" s="8"/>
      <c r="I9" s="8"/>
      <c r="J9" s="8"/>
      <c r="K9" s="8"/>
    </row>
    <row r="10" customFormat="false" ht="15" hidden="false" customHeight="false" outlineLevel="0" collapsed="false">
      <c r="A10" s="8" t="s">
        <v>114</v>
      </c>
      <c r="B10" s="8"/>
      <c r="C10" s="8"/>
      <c r="D10" s="8"/>
      <c r="E10" s="8"/>
      <c r="F10" s="8"/>
      <c r="G10" s="8"/>
      <c r="H10" s="8"/>
      <c r="I10" s="8"/>
      <c r="J10" s="8"/>
      <c r="K10" s="8"/>
    </row>
    <row r="11" customFormat="false" ht="15" hidden="false" customHeight="false" outlineLevel="0" collapsed="false">
      <c r="A11" s="8" t="s">
        <v>115</v>
      </c>
      <c r="B11" s="8"/>
      <c r="C11" s="8"/>
      <c r="D11" s="8"/>
      <c r="E11" s="8"/>
      <c r="F11" s="8"/>
      <c r="G11" s="8"/>
      <c r="H11" s="8"/>
      <c r="I11" s="8"/>
      <c r="J11" s="8"/>
      <c r="K11" s="8"/>
    </row>
    <row r="12" customFormat="false" ht="15" hidden="false" customHeight="false" outlineLevel="0" collapsed="false">
      <c r="A12" s="8" t="s">
        <v>116</v>
      </c>
      <c r="B12" s="8"/>
      <c r="C12" s="8"/>
      <c r="D12" s="8"/>
      <c r="E12" s="8"/>
      <c r="F12" s="8"/>
      <c r="G12" s="8"/>
      <c r="H12" s="8"/>
      <c r="I12" s="8"/>
      <c r="J12" s="8"/>
      <c r="K12" s="8"/>
    </row>
    <row r="13" customFormat="false" ht="15" hidden="false" customHeight="false" outlineLevel="0" collapsed="false">
      <c r="A13" s="8" t="s">
        <v>117</v>
      </c>
      <c r="B13" s="8"/>
      <c r="C13" s="8"/>
      <c r="D13" s="8"/>
      <c r="E13" s="8"/>
      <c r="F13" s="8"/>
      <c r="G13" s="8"/>
      <c r="H13" s="8"/>
      <c r="I13" s="8"/>
      <c r="J13" s="8"/>
      <c r="K13" s="8"/>
    </row>
    <row r="14" customFormat="false" ht="15" hidden="false" customHeight="false" outlineLevel="0" collapsed="false">
      <c r="A14" s="8" t="s">
        <v>118</v>
      </c>
      <c r="B14" s="8"/>
      <c r="C14" s="8"/>
      <c r="D14" s="8"/>
      <c r="E14" s="8"/>
      <c r="F14" s="8"/>
      <c r="G14" s="8"/>
      <c r="H14" s="8"/>
      <c r="I14" s="8"/>
      <c r="J14" s="8"/>
      <c r="K14" s="8"/>
    </row>
    <row r="15" customFormat="false" ht="15" hidden="false" customHeight="false" outlineLevel="0" collapsed="false">
      <c r="A15" s="8" t="s">
        <v>119</v>
      </c>
      <c r="B15" s="8"/>
      <c r="C15" s="8"/>
      <c r="D15" s="8"/>
      <c r="E15" s="8"/>
      <c r="F15" s="8"/>
      <c r="G15" s="8"/>
      <c r="H15" s="8"/>
      <c r="I15" s="8"/>
      <c r="J15" s="8"/>
      <c r="K15" s="8"/>
    </row>
    <row r="16" customFormat="false" ht="15" hidden="false" customHeight="false" outlineLevel="0" collapsed="false">
      <c r="A16" s="8" t="s">
        <v>120</v>
      </c>
      <c r="B16" s="8"/>
      <c r="C16" s="8"/>
      <c r="D16" s="8"/>
      <c r="E16" s="8"/>
      <c r="F16" s="8"/>
      <c r="G16" s="8"/>
      <c r="H16" s="8"/>
      <c r="I16" s="8"/>
      <c r="J16" s="8"/>
      <c r="K16" s="8"/>
    </row>
    <row r="17" customFormat="false" ht="15" hidden="false" customHeight="false" outlineLevel="0" collapsed="false">
      <c r="A17" s="8" t="s">
        <v>121</v>
      </c>
      <c r="B17" s="8"/>
      <c r="C17" s="8"/>
      <c r="D17" s="8"/>
      <c r="E17" s="8"/>
      <c r="F17" s="8"/>
      <c r="G17" s="8"/>
      <c r="H17" s="8"/>
      <c r="I17" s="8"/>
      <c r="J17" s="8"/>
      <c r="K17" s="8"/>
    </row>
    <row r="18" customFormat="false" ht="15" hidden="false" customHeight="false" outlineLevel="0" collapsed="false">
      <c r="A18" s="8" t="s">
        <v>122</v>
      </c>
      <c r="B18" s="8"/>
      <c r="C18" s="8"/>
      <c r="D18" s="8"/>
      <c r="E18" s="8"/>
      <c r="F18" s="8"/>
      <c r="G18" s="8"/>
      <c r="H18" s="8"/>
      <c r="I18" s="8"/>
      <c r="J18" s="8"/>
      <c r="K18" s="8"/>
    </row>
    <row r="19" customFormat="false" ht="15" hidden="false" customHeight="false" outlineLevel="0" collapsed="false">
      <c r="A19" s="8" t="s">
        <v>123</v>
      </c>
      <c r="B19" s="8"/>
      <c r="C19" s="8"/>
      <c r="D19" s="8"/>
      <c r="E19" s="8"/>
      <c r="F19" s="8"/>
      <c r="G19" s="8"/>
      <c r="H19" s="8"/>
      <c r="I19" s="8"/>
      <c r="J19" s="8"/>
      <c r="K19" s="8"/>
    </row>
    <row r="20" customFormat="false" ht="15" hidden="false" customHeight="false" outlineLevel="0" collapsed="false">
      <c r="A20" s="8" t="s">
        <v>124</v>
      </c>
      <c r="B20" s="8"/>
      <c r="C20" s="8"/>
      <c r="D20" s="8"/>
      <c r="E20" s="8"/>
      <c r="F20" s="8"/>
      <c r="G20" s="8"/>
      <c r="H20" s="8"/>
      <c r="I20" s="8"/>
      <c r="J20" s="8"/>
      <c r="K20" s="8"/>
    </row>
    <row r="21" customFormat="false" ht="15" hidden="false" customHeight="false" outlineLevel="0" collapsed="false">
      <c r="A21" s="8" t="s">
        <v>125</v>
      </c>
      <c r="B21" s="8"/>
      <c r="C21" s="8"/>
      <c r="D21" s="8"/>
      <c r="E21" s="8"/>
      <c r="F21" s="8"/>
      <c r="G21" s="8"/>
      <c r="H21" s="8"/>
      <c r="I21" s="8"/>
      <c r="J21" s="8"/>
      <c r="K21" s="8"/>
    </row>
    <row r="22" customFormat="false" ht="15" hidden="false" customHeight="false" outlineLevel="0" collapsed="false">
      <c r="A22" s="8" t="s">
        <v>126</v>
      </c>
      <c r="B22" s="8"/>
      <c r="C22" s="8"/>
      <c r="D22" s="8"/>
      <c r="E22" s="8"/>
      <c r="F22" s="8"/>
      <c r="G22" s="8"/>
      <c r="H22" s="8"/>
      <c r="I22" s="8"/>
      <c r="J22" s="8"/>
      <c r="K22" s="8"/>
    </row>
    <row r="23" customFormat="false" ht="15" hidden="false" customHeight="false" outlineLevel="0" collapsed="false">
      <c r="A23" s="8" t="s">
        <v>127</v>
      </c>
      <c r="B23" s="8"/>
      <c r="C23" s="8"/>
      <c r="D23" s="8"/>
      <c r="E23" s="8"/>
      <c r="F23" s="8"/>
      <c r="G23" s="8"/>
      <c r="H23" s="8"/>
      <c r="I23" s="8"/>
      <c r="J23" s="8"/>
      <c r="K23" s="8"/>
    </row>
    <row r="24" customFormat="false" ht="15" hidden="false" customHeight="false" outlineLevel="0" collapsed="false">
      <c r="A24" s="8" t="s">
        <v>128</v>
      </c>
      <c r="B24" s="8"/>
      <c r="C24" s="8"/>
      <c r="D24" s="8"/>
      <c r="E24" s="8"/>
      <c r="F24" s="8"/>
      <c r="G24" s="8"/>
      <c r="H24" s="8"/>
      <c r="I24" s="8"/>
      <c r="J24" s="8"/>
      <c r="K24" s="8"/>
    </row>
    <row r="25" customFormat="false" ht="15" hidden="false" customHeight="false" outlineLevel="0" collapsed="false">
      <c r="A25" s="8" t="s">
        <v>129</v>
      </c>
      <c r="B25" s="8"/>
      <c r="C25" s="8"/>
      <c r="D25" s="8"/>
      <c r="E25" s="8"/>
      <c r="F25" s="8"/>
      <c r="G25" s="8"/>
      <c r="H25" s="8"/>
      <c r="I25" s="8"/>
      <c r="J25" s="8"/>
      <c r="K25" s="8"/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</row>
    <row r="31" customFormat="false" ht="15" hidden="false" customHeight="false" outlineLevel="0" collapsed="false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</row>
    <row r="32" customFormat="false" ht="15" hidden="false" customHeight="false" outlineLevel="0" collapsed="false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</row>
    <row r="33" customFormat="false" ht="15" hidden="false" customHeight="false" outlineLevel="0" collapsed="false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</row>
    <row r="92" customFormat="false" ht="15" hidden="false" customHeight="false" outlineLevel="0" collapsed="false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</row>
    <row r="93" customFormat="false" ht="15" hidden="false" customHeight="false" outlineLevel="0" collapsed="false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</row>
    <row r="94" customFormat="false" ht="15" hidden="false" customHeight="false" outlineLevel="0" collapsed="false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</row>
    <row r="95" customFormat="false" ht="15" hidden="false" customHeight="false" outlineLevel="0" collapsed="false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</row>
    <row r="96" customFormat="false" ht="15" hidden="false" customHeight="false" outlineLevel="0" collapsed="false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</row>
    <row r="97" customFormat="false" ht="15" hidden="false" customHeight="false" outlineLevel="0" collapsed="false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</row>
    <row r="98" customFormat="false" ht="15" hidden="false" customHeight="false" outlineLevel="0" collapsed="false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</row>
    <row r="99" customFormat="false" ht="15" hidden="false" customHeight="false" outlineLevel="0" collapsed="false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</row>
    <row r="101" customFormat="false" ht="15" hidden="false" customHeight="false" outlineLevel="0" collapsed="false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</row>
    <row r="102" customFormat="false" ht="15" hidden="false" customHeight="false" outlineLevel="0" collapsed="false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</row>
    <row r="103" customFormat="false" ht="15" hidden="false" customHeight="false" outlineLevel="0" collapsed="false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</row>
    <row r="104" customFormat="false" ht="15" hidden="false" customHeight="false" outlineLevel="0" collapsed="false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</row>
    <row r="105" customFormat="false" ht="15" hidden="false" customHeight="false" outlineLevel="0" collapsed="false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</row>
    <row r="106" customFormat="false" ht="15" hidden="false" customHeight="false" outlineLevel="0" collapsed="false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</row>
    <row r="107" customFormat="false" ht="15" hidden="false" customHeight="false" outlineLevel="0" collapsed="false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</row>
    <row r="108" customFormat="false" ht="15" hidden="false" customHeight="false" outlineLevel="0" collapsed="false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</row>
    <row r="109" customFormat="false" ht="15" hidden="false" customHeight="false" outlineLevel="0" collapsed="false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</row>
    <row r="110" customFormat="false" ht="15" hidden="false" customHeight="false" outlineLevel="0" collapsed="false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</row>
    <row r="111" customFormat="false" ht="15" hidden="false" customHeight="false" outlineLevel="0" collapsed="false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</row>
    <row r="112" customFormat="false" ht="15" hidden="false" customHeight="false" outlineLevel="0" collapsed="false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</row>
    <row r="113" customFormat="false" ht="15" hidden="false" customHeight="false" outlineLevel="0" collapsed="false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</row>
    <row r="114" customFormat="false" ht="15" hidden="false" customHeight="false" outlineLevel="0" collapsed="false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</row>
    <row r="115" customFormat="false" ht="15" hidden="false" customHeight="false" outlineLevel="0" collapsed="false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</row>
    <row r="116" customFormat="false" ht="15" hidden="false" customHeight="false" outlineLevel="0" collapsed="false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</row>
    <row r="117" customFormat="false" ht="15" hidden="false" customHeight="false" outlineLevel="0" collapsed="false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</row>
    <row r="118" customFormat="false" ht="15" hidden="false" customHeight="false" outlineLevel="0" collapsed="false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</row>
    <row r="119" customFormat="false" ht="15" hidden="false" customHeight="false" outlineLevel="0" collapsed="false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</row>
    <row r="120" customFormat="false" ht="15" hidden="false" customHeight="false" outlineLevel="0" collapsed="false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</row>
    <row r="121" customFormat="false" ht="15" hidden="false" customHeight="false" outlineLevel="0" collapsed="false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</row>
    <row r="122" customFormat="false" ht="15" hidden="false" customHeight="false" outlineLevel="0" collapsed="false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</row>
    <row r="123" customFormat="false" ht="15" hidden="false" customHeight="false" outlineLevel="0" collapsed="false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</row>
    <row r="124" customFormat="false" ht="15" hidden="false" customHeight="false" outlineLevel="0" collapsed="false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</row>
    <row r="125" customFormat="false" ht="15" hidden="false" customHeight="false" outlineLevel="0" collapsed="false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</row>
    <row r="126" customFormat="false" ht="15" hidden="false" customHeight="false" outlineLevel="0" collapsed="false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</row>
    <row r="127" customFormat="false" ht="15" hidden="false" customHeight="false" outlineLevel="0" collapsed="false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</row>
    <row r="128" customFormat="false" ht="15" hidden="false" customHeight="false" outlineLevel="0" collapsed="false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</row>
    <row r="129" customFormat="false" ht="15" hidden="false" customHeight="false" outlineLevel="0" collapsed="false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</row>
    <row r="130" customFormat="false" ht="15" hidden="false" customHeight="false" outlineLevel="0" collapsed="false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</row>
    <row r="131" customFormat="false" ht="15" hidden="false" customHeight="false" outlineLevel="0" collapsed="false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</row>
    <row r="132" customFormat="false" ht="15" hidden="false" customHeight="false" outlineLevel="0" collapsed="false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</row>
    <row r="133" customFormat="false" ht="15" hidden="false" customHeight="false" outlineLevel="0" collapsed="false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</row>
    <row r="134" customFormat="false" ht="15" hidden="false" customHeight="false" outlineLevel="0" collapsed="false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</row>
    <row r="135" customFormat="false" ht="15" hidden="false" customHeight="false" outlineLevel="0" collapsed="false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</row>
    <row r="136" customFormat="false" ht="15" hidden="false" customHeight="false" outlineLevel="0" collapsed="false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</row>
    <row r="137" customFormat="false" ht="15" hidden="false" customHeight="false" outlineLevel="0" collapsed="false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</row>
    <row r="138" customFormat="false" ht="15" hidden="false" customHeight="false" outlineLevel="0" collapsed="false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</row>
    <row r="139" customFormat="false" ht="15" hidden="false" customHeight="false" outlineLevel="0" collapsed="false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</row>
    <row r="140" customFormat="false" ht="15" hidden="false" customHeight="false" outlineLevel="0" collapsed="false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</row>
    <row r="141" customFormat="false" ht="15" hidden="false" customHeight="false" outlineLevel="0" collapsed="false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</row>
    <row r="142" customFormat="false" ht="15" hidden="false" customHeight="false" outlineLevel="0" collapsed="false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</row>
    <row r="143" customFormat="false" ht="15" hidden="false" customHeight="false" outlineLevel="0" collapsed="false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</row>
    <row r="144" customFormat="false" ht="15" hidden="false" customHeight="false" outlineLevel="0" collapsed="false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</row>
    <row r="145" customFormat="false" ht="15" hidden="false" customHeight="false" outlineLevel="0" collapsed="false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</row>
    <row r="146" customFormat="false" ht="15" hidden="false" customHeight="false" outlineLevel="0" collapsed="false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</row>
    <row r="147" customFormat="false" ht="15" hidden="false" customHeight="false" outlineLevel="0" collapsed="false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</row>
    <row r="148" customFormat="false" ht="15" hidden="false" customHeight="false" outlineLevel="0" collapsed="false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</row>
    <row r="149" customFormat="false" ht="15" hidden="false" customHeight="false" outlineLevel="0" collapsed="false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</row>
    <row r="150" customFormat="false" ht="15" hidden="false" customHeight="false" outlineLevel="0" collapsed="false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</row>
    <row r="151" customFormat="false" ht="15" hidden="false" customHeight="false" outlineLevel="0" collapsed="false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</row>
    <row r="152" customFormat="false" ht="15" hidden="false" customHeight="false" outlineLevel="0" collapsed="false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</row>
    <row r="153" customFormat="false" ht="15" hidden="false" customHeight="false" outlineLevel="0" collapsed="false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</row>
    <row r="154" customFormat="false" ht="15" hidden="false" customHeight="false" outlineLevel="0" collapsed="false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</row>
    <row r="155" customFormat="false" ht="15" hidden="false" customHeight="false" outlineLevel="0" collapsed="false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</row>
    <row r="156" customFormat="false" ht="15" hidden="false" customHeight="false" outlineLevel="0" collapsed="false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</row>
    <row r="157" customFormat="false" ht="15" hidden="false" customHeight="false" outlineLevel="0" collapsed="false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</row>
    <row r="158" customFormat="false" ht="15" hidden="false" customHeight="false" outlineLevel="0" collapsed="false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</row>
    <row r="159" customFormat="false" ht="15" hidden="false" customHeight="false" outlineLevel="0" collapsed="false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</row>
    <row r="160" customFormat="false" ht="15" hidden="false" customHeight="false" outlineLevel="0" collapsed="false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</row>
    <row r="161" customFormat="false" ht="15" hidden="false" customHeight="false" outlineLevel="0" collapsed="false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</row>
    <row r="162" customFormat="false" ht="15" hidden="false" customHeight="false" outlineLevel="0" collapsed="false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</row>
    <row r="163" customFormat="false" ht="15" hidden="false" customHeight="false" outlineLevel="0" collapsed="false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</row>
    <row r="164" customFormat="false" ht="15" hidden="false" customHeight="false" outlineLevel="0" collapsed="false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</row>
    <row r="165" customFormat="false" ht="15" hidden="false" customHeight="false" outlineLevel="0" collapsed="false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</row>
    <row r="166" customFormat="false" ht="15" hidden="false" customHeight="false" outlineLevel="0" collapsed="false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</row>
    <row r="167" customFormat="false" ht="15" hidden="false" customHeight="false" outlineLevel="0" collapsed="false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</row>
    <row r="168" customFormat="false" ht="15" hidden="false" customHeight="false" outlineLevel="0" collapsed="false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</row>
    <row r="169" customFormat="false" ht="15" hidden="false" customHeight="false" outlineLevel="0" collapsed="false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</row>
    <row r="170" customFormat="false" ht="15" hidden="false" customHeight="false" outlineLevel="0" collapsed="false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</row>
    <row r="171" customFormat="false" ht="15" hidden="false" customHeight="false" outlineLevel="0" collapsed="false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</row>
    <row r="172" customFormat="false" ht="15" hidden="false" customHeight="false" outlineLevel="0" collapsed="false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</row>
    <row r="173" customFormat="false" ht="15" hidden="false" customHeight="false" outlineLevel="0" collapsed="false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</row>
    <row r="174" customFormat="false" ht="15" hidden="false" customHeight="false" outlineLevel="0" collapsed="false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</row>
    <row r="175" customFormat="false" ht="15" hidden="false" customHeight="false" outlineLevel="0" collapsed="false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</row>
    <row r="176" customFormat="false" ht="15" hidden="false" customHeight="false" outlineLevel="0" collapsed="false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</row>
    <row r="177" customFormat="false" ht="15" hidden="false" customHeight="false" outlineLevel="0" collapsed="false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</row>
    <row r="178" customFormat="false" ht="15" hidden="false" customHeight="false" outlineLevel="0" collapsed="false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</row>
    <row r="179" customFormat="false" ht="15" hidden="false" customHeight="false" outlineLevel="0" collapsed="false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</row>
    <row r="180" customFormat="false" ht="15" hidden="false" customHeight="false" outlineLevel="0" collapsed="false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</row>
    <row r="181" customFormat="false" ht="15" hidden="false" customHeight="false" outlineLevel="0" collapsed="false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</row>
    <row r="182" customFormat="false" ht="15" hidden="false" customHeight="false" outlineLevel="0" collapsed="false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</row>
    <row r="183" customFormat="false" ht="15" hidden="false" customHeight="false" outlineLevel="0" collapsed="false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</row>
    <row r="184" customFormat="false" ht="15" hidden="false" customHeight="false" outlineLevel="0" collapsed="false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</row>
    <row r="185" customFormat="false" ht="15" hidden="false" customHeight="false" outlineLevel="0" collapsed="false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</row>
    <row r="186" customFormat="false" ht="15" hidden="false" customHeight="false" outlineLevel="0" collapsed="false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</row>
    <row r="187" customFormat="false" ht="15" hidden="false" customHeight="false" outlineLevel="0" collapsed="false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</row>
    <row r="188" customFormat="false" ht="15" hidden="false" customHeight="false" outlineLevel="0" collapsed="false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</row>
    <row r="189" customFormat="false" ht="15" hidden="false" customHeight="false" outlineLevel="0" collapsed="false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</row>
    <row r="190" customFormat="false" ht="15" hidden="false" customHeight="false" outlineLevel="0" collapsed="false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</row>
    <row r="191" customFormat="false" ht="15" hidden="false" customHeight="false" outlineLevel="0" collapsed="false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</row>
    <row r="192" customFormat="false" ht="15" hidden="false" customHeight="false" outlineLevel="0" collapsed="false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</row>
    <row r="193" customFormat="false" ht="15" hidden="false" customHeight="false" outlineLevel="0" collapsed="false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</row>
    <row r="194" customFormat="false" ht="15" hidden="false" customHeight="false" outlineLevel="0" collapsed="false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</row>
    <row r="195" customFormat="false" ht="15" hidden="false" customHeight="false" outlineLevel="0" collapsed="false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</row>
    <row r="196" customFormat="false" ht="15" hidden="false" customHeight="false" outlineLevel="0" collapsed="false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</row>
    <row r="197" customFormat="false" ht="15" hidden="false" customHeight="false" outlineLevel="0" collapsed="false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</row>
    <row r="198" customFormat="false" ht="15" hidden="false" customHeight="false" outlineLevel="0" collapsed="false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</row>
    <row r="199" customFormat="false" ht="15" hidden="false" customHeight="false" outlineLevel="0" collapsed="false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</row>
    <row r="200" customFormat="false" ht="15" hidden="false" customHeight="false" outlineLevel="0" collapsed="false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</row>
    <row r="201" customFormat="false" ht="15" hidden="false" customHeight="false" outlineLevel="0" collapsed="false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</row>
    <row r="202" customFormat="false" ht="15" hidden="false" customHeight="false" outlineLevel="0" collapsed="false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</row>
    <row r="203" customFormat="false" ht="15" hidden="false" customHeight="false" outlineLevel="0" collapsed="false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</row>
    <row r="204" customFormat="false" ht="15" hidden="false" customHeight="false" outlineLevel="0" collapsed="false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</row>
    <row r="205" customFormat="false" ht="15" hidden="false" customHeight="false" outlineLevel="0" collapsed="false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</row>
  </sheetData>
  <dataValidations count="6">
    <dataValidation allowBlank="true" errorStyle="stop" operator="between" showDropDown="false" showErrorMessage="false" showInputMessage="false" sqref="B6:B205" type="list">
      <formula1>"personalised,generic"</formula1>
      <formula2>0</formula2>
    </dataValidation>
    <dataValidation allowBlank="true" errorStyle="stop" operator="between" showDropDown="false" showErrorMessage="false" showInputMessage="false" sqref="C6:C205" type="list">
      <formula1>"all,part,none"</formula1>
      <formula2>0</formula2>
    </dataValidation>
    <dataValidation allowBlank="true" errorStyle="stop" operator="between" showDropDown="false" showErrorMessage="false" showInputMessage="false" sqref="E6:E205" type="list">
      <formula1>"yes,maybe,no"</formula1>
      <formula2>0</formula2>
    </dataValidation>
    <dataValidation allowBlank="true" errorStyle="stop" operator="between" showDropDown="false" showErrorMessage="false" showInputMessage="false" sqref="F6:F205" type="list">
      <formula1>"Y,N"</formula1>
      <formula2>0</formula2>
    </dataValidation>
    <dataValidation allowBlank="true" errorStyle="stop" operator="between" showDropDown="false" showErrorMessage="false" showInputMessage="false" sqref="G6:I205" type="whole">
      <formula1>0</formula1>
      <formula2>100</formula2>
    </dataValidation>
    <dataValidation allowBlank="true" errorStyle="stop" operator="between" showDropDown="false" showErrorMessage="false" showInputMessage="false" sqref="J6:J205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36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9" min="8" style="0" width="12"/>
    <col collapsed="false" customWidth="true" hidden="false" outlineLevel="0" max="10" min="10" style="0" width="30"/>
  </cols>
  <sheetData>
    <row r="1" customFormat="false" ht="17.35" hidden="false" customHeight="false" outlineLevel="0" collapsed="false">
      <c r="A1" s="5" t="s">
        <v>173</v>
      </c>
    </row>
    <row r="2" customFormat="false" ht="15" hidden="false" customHeight="false" outlineLevel="0" collapsed="false">
      <c r="A2" s="6" t="s">
        <v>174</v>
      </c>
    </row>
    <row r="3" customFormat="false" ht="15" hidden="false" customHeight="false" outlineLevel="0" collapsed="false">
      <c r="A3" s="20" t="s">
        <v>72</v>
      </c>
    </row>
    <row r="4" customFormat="false" ht="15" hidden="false" customHeight="false" outlineLevel="0" collapsed="false">
      <c r="A4" s="21" t="s">
        <v>73</v>
      </c>
      <c r="B4" s="21" t="s">
        <v>160</v>
      </c>
      <c r="C4" s="21" t="n">
        <v>2</v>
      </c>
      <c r="D4" s="21" t="s">
        <v>175</v>
      </c>
      <c r="E4" s="21" t="s">
        <v>176</v>
      </c>
      <c r="F4" s="21" t="n">
        <v>5</v>
      </c>
      <c r="G4" s="21" t="s">
        <v>177</v>
      </c>
      <c r="H4" s="21" t="n">
        <v>12</v>
      </c>
      <c r="I4" s="21" t="s">
        <v>78</v>
      </c>
      <c r="J4" s="21"/>
    </row>
    <row r="5" customFormat="false" ht="42" hidden="false" customHeight="true" outlineLevel="0" collapsed="false">
      <c r="A5" s="22" t="s">
        <v>134</v>
      </c>
      <c r="B5" s="22" t="s">
        <v>178</v>
      </c>
      <c r="C5" s="22" t="s">
        <v>179</v>
      </c>
      <c r="D5" s="22" t="s">
        <v>180</v>
      </c>
      <c r="E5" s="22" t="s">
        <v>181</v>
      </c>
      <c r="F5" s="22" t="s">
        <v>182</v>
      </c>
      <c r="G5" s="22" t="s">
        <v>183</v>
      </c>
      <c r="H5" s="22" t="s">
        <v>184</v>
      </c>
      <c r="I5" s="22" t="s">
        <v>185</v>
      </c>
      <c r="J5" s="22" t="s">
        <v>186</v>
      </c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  <c r="H6" s="8"/>
      <c r="I6" s="8"/>
      <c r="J6" s="8"/>
    </row>
    <row r="7" customFormat="false" ht="15" hidden="false" customHeight="false" outlineLevel="0" collapsed="false">
      <c r="A7" s="8"/>
      <c r="B7" s="8"/>
      <c r="C7" s="8"/>
      <c r="D7" s="8"/>
      <c r="E7" s="8"/>
      <c r="F7" s="8"/>
      <c r="G7" s="8"/>
      <c r="H7" s="8"/>
      <c r="I7" s="8"/>
      <c r="J7" s="8"/>
    </row>
    <row r="8" customFormat="false" ht="15" hidden="false" customHeight="false" outlineLevel="0" collapsed="false">
      <c r="A8" s="8"/>
      <c r="B8" s="8"/>
      <c r="C8" s="8"/>
      <c r="D8" s="8"/>
      <c r="E8" s="8"/>
      <c r="F8" s="8"/>
      <c r="G8" s="8"/>
      <c r="H8" s="8"/>
      <c r="I8" s="8"/>
      <c r="J8" s="8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  <c r="H9" s="8"/>
      <c r="I9" s="8"/>
      <c r="J9" s="8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customFormat="false" ht="15" hidden="false" customHeight="false" outlineLevel="0" collapsed="false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customFormat="false" ht="15" hidden="false" customHeight="false" outlineLevel="0" collapsed="false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customFormat="false" ht="15" hidden="false" customHeight="false" outlineLevel="0" collapsed="false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customFormat="false" ht="15" hidden="false" customHeight="false" outlineLevel="0" collapsed="false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customFormat="false" ht="15" hidden="false" customHeight="false" outlineLevel="0" collapsed="false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customFormat="false" ht="15" hidden="false" customHeight="false" outlineLevel="0" collapsed="false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customFormat="false" ht="15" hidden="false" customHeight="false" outlineLevel="0" collapsed="false">
      <c r="A17" s="8"/>
      <c r="B17" s="8"/>
      <c r="C17" s="8"/>
      <c r="D17" s="8"/>
      <c r="E17" s="8"/>
      <c r="F17" s="8"/>
      <c r="G17" s="8"/>
      <c r="H17" s="8"/>
      <c r="I17" s="8"/>
      <c r="J17" s="8"/>
    </row>
    <row r="18" customFormat="false" ht="15" hidden="false" customHeight="false" outlineLevel="0" collapsed="false">
      <c r="A18" s="8"/>
      <c r="B18" s="8"/>
      <c r="C18" s="8"/>
      <c r="D18" s="8"/>
      <c r="E18" s="8"/>
      <c r="F18" s="8"/>
      <c r="G18" s="8"/>
      <c r="H18" s="8"/>
      <c r="I18" s="8"/>
      <c r="J18" s="8"/>
    </row>
    <row r="19" customFormat="false" ht="15" hidden="false" customHeight="false" outlineLevel="0" collapsed="false">
      <c r="A19" s="8"/>
      <c r="B19" s="8"/>
      <c r="C19" s="8"/>
      <c r="D19" s="8"/>
      <c r="E19" s="8"/>
      <c r="F19" s="8"/>
      <c r="G19" s="8"/>
      <c r="H19" s="8"/>
      <c r="I19" s="8"/>
      <c r="J19" s="8"/>
    </row>
    <row r="20" customFormat="false" ht="15" hidden="false" customHeight="false" outlineLevel="0" collapsed="false">
      <c r="A20" s="8"/>
      <c r="B20" s="8"/>
      <c r="C20" s="8"/>
      <c r="D20" s="8"/>
      <c r="E20" s="8"/>
      <c r="F20" s="8"/>
      <c r="G20" s="8"/>
      <c r="H20" s="8"/>
      <c r="I20" s="8"/>
      <c r="J20" s="8"/>
    </row>
    <row r="21" customFormat="false" ht="15" hidden="false" customHeight="false" outlineLevel="0" collapsed="false">
      <c r="A21" s="8"/>
      <c r="B21" s="8"/>
      <c r="C21" s="8"/>
      <c r="D21" s="8"/>
      <c r="E21" s="8"/>
      <c r="F21" s="8"/>
      <c r="G21" s="8"/>
      <c r="H21" s="8"/>
      <c r="I21" s="8"/>
      <c r="J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  <c r="H22" s="8"/>
      <c r="I22" s="8"/>
      <c r="J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  <c r="H23" s="8"/>
      <c r="I23" s="8"/>
      <c r="J23" s="8"/>
    </row>
    <row r="24" customFormat="false" ht="15" hidden="false" customHeight="false" outlineLevel="0" collapsed="false">
      <c r="A24" s="8"/>
      <c r="B24" s="8"/>
      <c r="C24" s="8"/>
      <c r="D24" s="8"/>
      <c r="E24" s="8"/>
      <c r="F24" s="8"/>
      <c r="G24" s="8"/>
      <c r="H24" s="8"/>
      <c r="I24" s="8"/>
      <c r="J24" s="8"/>
    </row>
    <row r="25" customFormat="false" ht="15" hidden="false" customHeight="false" outlineLevel="0" collapsed="false">
      <c r="A25" s="8"/>
      <c r="B25" s="8"/>
      <c r="C25" s="8"/>
      <c r="D25" s="8"/>
      <c r="E25" s="8"/>
      <c r="F25" s="8"/>
      <c r="G25" s="8"/>
      <c r="H25" s="8"/>
      <c r="I25" s="8"/>
      <c r="J25" s="8"/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  <c r="H26" s="8"/>
      <c r="I26" s="8"/>
      <c r="J26" s="8"/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8"/>
      <c r="H27" s="8"/>
      <c r="I27" s="8"/>
      <c r="J27" s="8"/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  <c r="H28" s="8"/>
      <c r="I28" s="8"/>
      <c r="J28" s="8"/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8"/>
      <c r="H29" s="8"/>
      <c r="I29" s="8"/>
      <c r="J29" s="8"/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</row>
    <row r="31" customFormat="false" ht="15" hidden="false" customHeight="false" outlineLevel="0" collapsed="false">
      <c r="A31" s="8"/>
      <c r="B31" s="8"/>
      <c r="C31" s="8"/>
      <c r="D31" s="8"/>
      <c r="E31" s="8"/>
      <c r="F31" s="8"/>
      <c r="G31" s="8"/>
      <c r="H31" s="8"/>
      <c r="I31" s="8"/>
      <c r="J31" s="8"/>
    </row>
    <row r="32" customFormat="false" ht="15" hidden="false" customHeight="false" outlineLevel="0" collapsed="false">
      <c r="A32" s="8"/>
      <c r="B32" s="8"/>
      <c r="C32" s="8"/>
      <c r="D32" s="8"/>
      <c r="E32" s="8"/>
      <c r="F32" s="8"/>
      <c r="G32" s="8"/>
      <c r="H32" s="8"/>
      <c r="I32" s="8"/>
      <c r="J32" s="8"/>
    </row>
    <row r="33" customFormat="false" ht="15" hidden="false" customHeight="false" outlineLevel="0" collapsed="false">
      <c r="A33" s="8"/>
      <c r="B33" s="8"/>
      <c r="C33" s="8"/>
      <c r="D33" s="8"/>
      <c r="E33" s="8"/>
      <c r="F33" s="8"/>
      <c r="G33" s="8"/>
      <c r="H33" s="8"/>
      <c r="I33" s="8"/>
      <c r="J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8"/>
      <c r="H36" s="8"/>
      <c r="I36" s="8"/>
      <c r="J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  <c r="H54" s="8"/>
      <c r="I54" s="8"/>
      <c r="J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  <c r="H55" s="8"/>
      <c r="I55" s="8"/>
      <c r="J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  <c r="H56" s="8"/>
      <c r="I56" s="8"/>
      <c r="J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  <c r="H57" s="8"/>
      <c r="I57" s="8"/>
      <c r="J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  <c r="H58" s="8"/>
      <c r="I58" s="8"/>
      <c r="J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  <c r="H59" s="8"/>
      <c r="I59" s="8"/>
      <c r="J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  <c r="H60" s="8"/>
      <c r="I60" s="8"/>
      <c r="J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  <c r="H61" s="8"/>
      <c r="I61" s="8"/>
      <c r="J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  <c r="H62" s="8"/>
      <c r="I62" s="8"/>
      <c r="J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  <c r="H63" s="8"/>
      <c r="I63" s="8"/>
      <c r="J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  <c r="H64" s="8"/>
      <c r="I64" s="8"/>
      <c r="J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  <c r="H65" s="8"/>
      <c r="I65" s="8"/>
      <c r="J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  <c r="H66" s="8"/>
      <c r="I66" s="8"/>
      <c r="J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  <c r="H67" s="8"/>
      <c r="I67" s="8"/>
      <c r="J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  <c r="H68" s="8"/>
      <c r="I68" s="8"/>
      <c r="J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  <c r="H69" s="8"/>
      <c r="I69" s="8"/>
      <c r="J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  <c r="H70" s="8"/>
      <c r="I70" s="8"/>
      <c r="J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  <c r="H71" s="8"/>
      <c r="I71" s="8"/>
      <c r="J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  <c r="H72" s="8"/>
      <c r="I72" s="8"/>
      <c r="J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  <c r="H73" s="8"/>
      <c r="I73" s="8"/>
      <c r="J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  <c r="H74" s="8"/>
      <c r="I74" s="8"/>
      <c r="J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  <c r="H75" s="8"/>
      <c r="I75" s="8"/>
      <c r="J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  <c r="H76" s="8"/>
      <c r="I76" s="8"/>
      <c r="J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  <c r="H77" s="8"/>
      <c r="I77" s="8"/>
      <c r="J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  <c r="H78" s="8"/>
      <c r="I78" s="8"/>
      <c r="J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  <c r="H79" s="8"/>
      <c r="I79" s="8"/>
      <c r="J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  <c r="H80" s="8"/>
      <c r="I80" s="8"/>
      <c r="J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  <c r="H81" s="8"/>
      <c r="I81" s="8"/>
      <c r="J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  <c r="H82" s="8"/>
      <c r="I82" s="8"/>
      <c r="J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  <c r="H83" s="8"/>
      <c r="I83" s="8"/>
      <c r="J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  <c r="H84" s="8"/>
      <c r="I84" s="8"/>
      <c r="J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  <c r="H85" s="8"/>
      <c r="I85" s="8"/>
      <c r="J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  <c r="H86" s="8"/>
      <c r="I86" s="8"/>
      <c r="J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  <c r="H87" s="8"/>
      <c r="I87" s="8"/>
      <c r="J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  <c r="H88" s="8"/>
      <c r="I88" s="8"/>
      <c r="J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  <c r="H89" s="8"/>
      <c r="I89" s="8"/>
      <c r="J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  <c r="H90" s="8"/>
      <c r="I90" s="8"/>
      <c r="J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  <c r="H91" s="8"/>
      <c r="I91" s="8"/>
      <c r="J91" s="8"/>
    </row>
    <row r="92" customFormat="false" ht="15" hidden="false" customHeight="false" outlineLevel="0" collapsed="false">
      <c r="A92" s="8"/>
      <c r="B92" s="8"/>
      <c r="C92" s="8"/>
      <c r="D92" s="8"/>
      <c r="E92" s="8"/>
      <c r="F92" s="8"/>
      <c r="G92" s="8"/>
      <c r="H92" s="8"/>
      <c r="I92" s="8"/>
      <c r="J92" s="8"/>
    </row>
    <row r="93" customFormat="false" ht="15" hidden="false" customHeight="false" outlineLevel="0" collapsed="false">
      <c r="A93" s="8"/>
      <c r="B93" s="8"/>
      <c r="C93" s="8"/>
      <c r="D93" s="8"/>
      <c r="E93" s="8"/>
      <c r="F93" s="8"/>
      <c r="G93" s="8"/>
      <c r="H93" s="8"/>
      <c r="I93" s="8"/>
      <c r="J93" s="8"/>
    </row>
    <row r="94" customFormat="false" ht="15" hidden="false" customHeight="false" outlineLevel="0" collapsed="false">
      <c r="A94" s="8"/>
      <c r="B94" s="8"/>
      <c r="C94" s="8"/>
      <c r="D94" s="8"/>
      <c r="E94" s="8"/>
      <c r="F94" s="8"/>
      <c r="G94" s="8"/>
      <c r="H94" s="8"/>
      <c r="I94" s="8"/>
      <c r="J94" s="8"/>
    </row>
    <row r="95" customFormat="false" ht="15" hidden="false" customHeight="false" outlineLevel="0" collapsed="false">
      <c r="A95" s="8"/>
      <c r="B95" s="8"/>
      <c r="C95" s="8"/>
      <c r="D95" s="8"/>
      <c r="E95" s="8"/>
      <c r="F95" s="8"/>
      <c r="G95" s="8"/>
      <c r="H95" s="8"/>
      <c r="I95" s="8"/>
      <c r="J95" s="8"/>
    </row>
    <row r="96" customFormat="false" ht="15" hidden="false" customHeight="false" outlineLevel="0" collapsed="false">
      <c r="A96" s="8"/>
      <c r="B96" s="8"/>
      <c r="C96" s="8"/>
      <c r="D96" s="8"/>
      <c r="E96" s="8"/>
      <c r="F96" s="8"/>
      <c r="G96" s="8"/>
      <c r="H96" s="8"/>
      <c r="I96" s="8"/>
      <c r="J96" s="8"/>
    </row>
    <row r="97" customFormat="false" ht="15" hidden="false" customHeight="false" outlineLevel="0" collapsed="false">
      <c r="A97" s="8"/>
      <c r="B97" s="8"/>
      <c r="C97" s="8"/>
      <c r="D97" s="8"/>
      <c r="E97" s="8"/>
      <c r="F97" s="8"/>
      <c r="G97" s="8"/>
      <c r="H97" s="8"/>
      <c r="I97" s="8"/>
      <c r="J97" s="8"/>
    </row>
    <row r="98" customFormat="false" ht="15" hidden="false" customHeight="false" outlineLevel="0" collapsed="false">
      <c r="A98" s="8"/>
      <c r="B98" s="8"/>
      <c r="C98" s="8"/>
      <c r="D98" s="8"/>
      <c r="E98" s="8"/>
      <c r="F98" s="8"/>
      <c r="G98" s="8"/>
      <c r="H98" s="8"/>
      <c r="I98" s="8"/>
      <c r="J98" s="8"/>
    </row>
    <row r="99" customFormat="false" ht="15" hidden="false" customHeight="false" outlineLevel="0" collapsed="false">
      <c r="A99" s="8"/>
      <c r="B99" s="8"/>
      <c r="C99" s="8"/>
      <c r="D99" s="8"/>
      <c r="E99" s="8"/>
      <c r="F99" s="8"/>
      <c r="G99" s="8"/>
      <c r="H99" s="8"/>
      <c r="I99" s="8"/>
      <c r="J99" s="8"/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8"/>
      <c r="G100" s="8"/>
      <c r="H100" s="8"/>
      <c r="I100" s="8"/>
      <c r="J100" s="8"/>
    </row>
    <row r="101" customFormat="false" ht="15" hidden="false" customHeight="false" outlineLevel="0" collapsed="false">
      <c r="A101" s="8"/>
      <c r="B101" s="8"/>
      <c r="C101" s="8"/>
      <c r="D101" s="8"/>
      <c r="E101" s="8"/>
      <c r="F101" s="8"/>
      <c r="G101" s="8"/>
      <c r="H101" s="8"/>
      <c r="I101" s="8"/>
      <c r="J101" s="8"/>
    </row>
    <row r="102" customFormat="false" ht="15" hidden="false" customHeight="false" outlineLevel="0" collapsed="false">
      <c r="A102" s="8"/>
      <c r="B102" s="8"/>
      <c r="C102" s="8"/>
      <c r="D102" s="8"/>
      <c r="E102" s="8"/>
      <c r="F102" s="8"/>
      <c r="G102" s="8"/>
      <c r="H102" s="8"/>
      <c r="I102" s="8"/>
      <c r="J102" s="8"/>
    </row>
    <row r="103" customFormat="false" ht="15" hidden="false" customHeight="false" outlineLevel="0" collapsed="false">
      <c r="A103" s="8"/>
      <c r="B103" s="8"/>
      <c r="C103" s="8"/>
      <c r="D103" s="8"/>
      <c r="E103" s="8"/>
      <c r="F103" s="8"/>
      <c r="G103" s="8"/>
      <c r="H103" s="8"/>
      <c r="I103" s="8"/>
      <c r="J103" s="8"/>
    </row>
    <row r="104" customFormat="false" ht="15" hidden="false" customHeight="false" outlineLevel="0" collapsed="false">
      <c r="A104" s="8"/>
      <c r="B104" s="8"/>
      <c r="C104" s="8"/>
      <c r="D104" s="8"/>
      <c r="E104" s="8"/>
      <c r="F104" s="8"/>
      <c r="G104" s="8"/>
      <c r="H104" s="8"/>
      <c r="I104" s="8"/>
      <c r="J104" s="8"/>
    </row>
    <row r="105" customFormat="false" ht="15" hidden="false" customHeight="false" outlineLevel="0" collapsed="false">
      <c r="A105" s="8"/>
      <c r="B105" s="8"/>
      <c r="C105" s="8"/>
      <c r="D105" s="8"/>
      <c r="E105" s="8"/>
      <c r="F105" s="8"/>
      <c r="G105" s="8"/>
      <c r="H105" s="8"/>
      <c r="I105" s="8"/>
      <c r="J105" s="8"/>
    </row>
    <row r="106" customFormat="false" ht="15" hidden="false" customHeight="false" outlineLevel="0" collapsed="false">
      <c r="A106" s="8"/>
      <c r="B106" s="8"/>
      <c r="C106" s="8"/>
      <c r="D106" s="8"/>
      <c r="E106" s="8"/>
      <c r="F106" s="8"/>
      <c r="G106" s="8"/>
      <c r="H106" s="8"/>
      <c r="I106" s="8"/>
      <c r="J106" s="8"/>
    </row>
    <row r="107" customFormat="false" ht="15" hidden="false" customHeight="false" outlineLevel="0" collapsed="false">
      <c r="A107" s="8"/>
      <c r="B107" s="8"/>
      <c r="C107" s="8"/>
      <c r="D107" s="8"/>
      <c r="E107" s="8"/>
      <c r="F107" s="8"/>
      <c r="G107" s="8"/>
      <c r="H107" s="8"/>
      <c r="I107" s="8"/>
      <c r="J107" s="8"/>
    </row>
    <row r="108" customFormat="false" ht="15" hidden="false" customHeight="false" outlineLevel="0" collapsed="false">
      <c r="A108" s="8"/>
      <c r="B108" s="8"/>
      <c r="C108" s="8"/>
      <c r="D108" s="8"/>
      <c r="E108" s="8"/>
      <c r="F108" s="8"/>
      <c r="G108" s="8"/>
      <c r="H108" s="8"/>
      <c r="I108" s="8"/>
      <c r="J108" s="8"/>
    </row>
    <row r="109" customFormat="false" ht="15" hidden="false" customHeight="false" outlineLevel="0" collapsed="false">
      <c r="A109" s="8"/>
      <c r="B109" s="8"/>
      <c r="C109" s="8"/>
      <c r="D109" s="8"/>
      <c r="E109" s="8"/>
      <c r="F109" s="8"/>
      <c r="G109" s="8"/>
      <c r="H109" s="8"/>
      <c r="I109" s="8"/>
      <c r="J109" s="8"/>
    </row>
    <row r="110" customFormat="false" ht="15" hidden="false" customHeight="false" outlineLevel="0" collapsed="false">
      <c r="A110" s="8"/>
      <c r="B110" s="8"/>
      <c r="C110" s="8"/>
      <c r="D110" s="8"/>
      <c r="E110" s="8"/>
      <c r="F110" s="8"/>
      <c r="G110" s="8"/>
      <c r="H110" s="8"/>
      <c r="I110" s="8"/>
      <c r="J110" s="8"/>
    </row>
    <row r="111" customFormat="false" ht="15" hidden="false" customHeight="false" outlineLevel="0" collapsed="false">
      <c r="A111" s="8"/>
      <c r="B111" s="8"/>
      <c r="C111" s="8"/>
      <c r="D111" s="8"/>
      <c r="E111" s="8"/>
      <c r="F111" s="8"/>
      <c r="G111" s="8"/>
      <c r="H111" s="8"/>
      <c r="I111" s="8"/>
      <c r="J111" s="8"/>
    </row>
    <row r="112" customFormat="false" ht="15" hidden="false" customHeight="false" outlineLevel="0" collapsed="false">
      <c r="A112" s="8"/>
      <c r="B112" s="8"/>
      <c r="C112" s="8"/>
      <c r="D112" s="8"/>
      <c r="E112" s="8"/>
      <c r="F112" s="8"/>
      <c r="G112" s="8"/>
      <c r="H112" s="8"/>
      <c r="I112" s="8"/>
      <c r="J112" s="8"/>
    </row>
    <row r="113" customFormat="false" ht="15" hidden="false" customHeight="false" outlineLevel="0" collapsed="false">
      <c r="A113" s="8"/>
      <c r="B113" s="8"/>
      <c r="C113" s="8"/>
      <c r="D113" s="8"/>
      <c r="E113" s="8"/>
      <c r="F113" s="8"/>
      <c r="G113" s="8"/>
      <c r="H113" s="8"/>
      <c r="I113" s="8"/>
      <c r="J113" s="8"/>
    </row>
    <row r="114" customFormat="false" ht="15" hidden="false" customHeight="false" outlineLevel="0" collapsed="false">
      <c r="A114" s="8"/>
      <c r="B114" s="8"/>
      <c r="C114" s="8"/>
      <c r="D114" s="8"/>
      <c r="E114" s="8"/>
      <c r="F114" s="8"/>
      <c r="G114" s="8"/>
      <c r="H114" s="8"/>
      <c r="I114" s="8"/>
      <c r="J114" s="8"/>
    </row>
    <row r="115" customFormat="false" ht="15" hidden="false" customHeight="false" outlineLevel="0" collapsed="false">
      <c r="A115" s="8"/>
      <c r="B115" s="8"/>
      <c r="C115" s="8"/>
      <c r="D115" s="8"/>
      <c r="E115" s="8"/>
      <c r="F115" s="8"/>
      <c r="G115" s="8"/>
      <c r="H115" s="8"/>
      <c r="I115" s="8"/>
      <c r="J115" s="8"/>
    </row>
    <row r="116" customFormat="false" ht="15" hidden="false" customHeight="false" outlineLevel="0" collapsed="false">
      <c r="A116" s="8"/>
      <c r="B116" s="8"/>
      <c r="C116" s="8"/>
      <c r="D116" s="8"/>
      <c r="E116" s="8"/>
      <c r="F116" s="8"/>
      <c r="G116" s="8"/>
      <c r="H116" s="8"/>
      <c r="I116" s="8"/>
      <c r="J116" s="8"/>
    </row>
    <row r="117" customFormat="false" ht="15" hidden="false" customHeight="false" outlineLevel="0" collapsed="false">
      <c r="A117" s="8"/>
      <c r="B117" s="8"/>
      <c r="C117" s="8"/>
      <c r="D117" s="8"/>
      <c r="E117" s="8"/>
      <c r="F117" s="8"/>
      <c r="G117" s="8"/>
      <c r="H117" s="8"/>
      <c r="I117" s="8"/>
      <c r="J117" s="8"/>
    </row>
    <row r="118" customFormat="false" ht="15" hidden="false" customHeight="false" outlineLevel="0" collapsed="false">
      <c r="A118" s="8"/>
      <c r="B118" s="8"/>
      <c r="C118" s="8"/>
      <c r="D118" s="8"/>
      <c r="E118" s="8"/>
      <c r="F118" s="8"/>
      <c r="G118" s="8"/>
      <c r="H118" s="8"/>
      <c r="I118" s="8"/>
      <c r="J118" s="8"/>
    </row>
    <row r="119" customFormat="false" ht="15" hidden="false" customHeight="false" outlineLevel="0" collapsed="false">
      <c r="A119" s="8"/>
      <c r="B119" s="8"/>
      <c r="C119" s="8"/>
      <c r="D119" s="8"/>
      <c r="E119" s="8"/>
      <c r="F119" s="8"/>
      <c r="G119" s="8"/>
      <c r="H119" s="8"/>
      <c r="I119" s="8"/>
      <c r="J119" s="8"/>
    </row>
    <row r="120" customFormat="false" ht="15" hidden="false" customHeight="false" outlineLevel="0" collapsed="false">
      <c r="A120" s="8"/>
      <c r="B120" s="8"/>
      <c r="C120" s="8"/>
      <c r="D120" s="8"/>
      <c r="E120" s="8"/>
      <c r="F120" s="8"/>
      <c r="G120" s="8"/>
      <c r="H120" s="8"/>
      <c r="I120" s="8"/>
      <c r="J120" s="8"/>
    </row>
    <row r="121" customFormat="false" ht="15" hidden="false" customHeight="false" outlineLevel="0" collapsed="false">
      <c r="A121" s="8"/>
      <c r="B121" s="8"/>
      <c r="C121" s="8"/>
      <c r="D121" s="8"/>
      <c r="E121" s="8"/>
      <c r="F121" s="8"/>
      <c r="G121" s="8"/>
      <c r="H121" s="8"/>
      <c r="I121" s="8"/>
      <c r="J121" s="8"/>
    </row>
    <row r="122" customFormat="false" ht="15" hidden="false" customHeight="false" outlineLevel="0" collapsed="false">
      <c r="A122" s="8"/>
      <c r="B122" s="8"/>
      <c r="C122" s="8"/>
      <c r="D122" s="8"/>
      <c r="E122" s="8"/>
      <c r="F122" s="8"/>
      <c r="G122" s="8"/>
      <c r="H122" s="8"/>
      <c r="I122" s="8"/>
      <c r="J122" s="8"/>
    </row>
    <row r="123" customFormat="false" ht="15" hidden="false" customHeight="false" outlineLevel="0" collapsed="false">
      <c r="A123" s="8"/>
      <c r="B123" s="8"/>
      <c r="C123" s="8"/>
      <c r="D123" s="8"/>
      <c r="E123" s="8"/>
      <c r="F123" s="8"/>
      <c r="G123" s="8"/>
      <c r="H123" s="8"/>
      <c r="I123" s="8"/>
      <c r="J123" s="8"/>
    </row>
    <row r="124" customFormat="false" ht="15" hidden="false" customHeight="false" outlineLevel="0" collapsed="false">
      <c r="A124" s="8"/>
      <c r="B124" s="8"/>
      <c r="C124" s="8"/>
      <c r="D124" s="8"/>
      <c r="E124" s="8"/>
      <c r="F124" s="8"/>
      <c r="G124" s="8"/>
      <c r="H124" s="8"/>
      <c r="I124" s="8"/>
      <c r="J124" s="8"/>
    </row>
    <row r="125" customFormat="false" ht="15" hidden="false" customHeight="false" outlineLevel="0" collapsed="false">
      <c r="A125" s="8"/>
      <c r="B125" s="8"/>
      <c r="C125" s="8"/>
      <c r="D125" s="8"/>
      <c r="E125" s="8"/>
      <c r="F125" s="8"/>
      <c r="G125" s="8"/>
      <c r="H125" s="8"/>
      <c r="I125" s="8"/>
      <c r="J125" s="8"/>
    </row>
    <row r="126" customFormat="false" ht="15" hidden="false" customHeight="false" outlineLevel="0" collapsed="false">
      <c r="A126" s="8"/>
      <c r="B126" s="8"/>
      <c r="C126" s="8"/>
      <c r="D126" s="8"/>
      <c r="E126" s="8"/>
      <c r="F126" s="8"/>
      <c r="G126" s="8"/>
      <c r="H126" s="8"/>
      <c r="I126" s="8"/>
      <c r="J126" s="8"/>
    </row>
    <row r="127" customFormat="false" ht="15" hidden="false" customHeight="false" outlineLevel="0" collapsed="false">
      <c r="A127" s="8"/>
      <c r="B127" s="8"/>
      <c r="C127" s="8"/>
      <c r="D127" s="8"/>
      <c r="E127" s="8"/>
      <c r="F127" s="8"/>
      <c r="G127" s="8"/>
      <c r="H127" s="8"/>
      <c r="I127" s="8"/>
      <c r="J127" s="8"/>
    </row>
    <row r="128" customFormat="false" ht="15" hidden="false" customHeight="false" outlineLevel="0" collapsed="false">
      <c r="A128" s="8"/>
      <c r="B128" s="8"/>
      <c r="C128" s="8"/>
      <c r="D128" s="8"/>
      <c r="E128" s="8"/>
      <c r="F128" s="8"/>
      <c r="G128" s="8"/>
      <c r="H128" s="8"/>
      <c r="I128" s="8"/>
      <c r="J128" s="8"/>
    </row>
    <row r="129" customFormat="false" ht="15" hidden="false" customHeight="false" outlineLevel="0" collapsed="false">
      <c r="A129" s="8"/>
      <c r="B129" s="8"/>
      <c r="C129" s="8"/>
      <c r="D129" s="8"/>
      <c r="E129" s="8"/>
      <c r="F129" s="8"/>
      <c r="G129" s="8"/>
      <c r="H129" s="8"/>
      <c r="I129" s="8"/>
      <c r="J129" s="8"/>
    </row>
    <row r="130" customFormat="false" ht="15" hidden="false" customHeight="false" outlineLevel="0" collapsed="false">
      <c r="A130" s="8"/>
      <c r="B130" s="8"/>
      <c r="C130" s="8"/>
      <c r="D130" s="8"/>
      <c r="E130" s="8"/>
      <c r="F130" s="8"/>
      <c r="G130" s="8"/>
      <c r="H130" s="8"/>
      <c r="I130" s="8"/>
      <c r="J130" s="8"/>
    </row>
    <row r="131" customFormat="false" ht="15" hidden="false" customHeight="false" outlineLevel="0" collapsed="false">
      <c r="A131" s="8"/>
      <c r="B131" s="8"/>
      <c r="C131" s="8"/>
      <c r="D131" s="8"/>
      <c r="E131" s="8"/>
      <c r="F131" s="8"/>
      <c r="G131" s="8"/>
      <c r="H131" s="8"/>
      <c r="I131" s="8"/>
      <c r="J131" s="8"/>
    </row>
    <row r="132" customFormat="false" ht="15" hidden="false" customHeight="false" outlineLevel="0" collapsed="false">
      <c r="A132" s="8"/>
      <c r="B132" s="8"/>
      <c r="C132" s="8"/>
      <c r="D132" s="8"/>
      <c r="E132" s="8"/>
      <c r="F132" s="8"/>
      <c r="G132" s="8"/>
      <c r="H132" s="8"/>
      <c r="I132" s="8"/>
      <c r="J132" s="8"/>
    </row>
    <row r="133" customFormat="false" ht="15" hidden="false" customHeight="false" outlineLevel="0" collapsed="false">
      <c r="A133" s="8"/>
      <c r="B133" s="8"/>
      <c r="C133" s="8"/>
      <c r="D133" s="8"/>
      <c r="E133" s="8"/>
      <c r="F133" s="8"/>
      <c r="G133" s="8"/>
      <c r="H133" s="8"/>
      <c r="I133" s="8"/>
      <c r="J133" s="8"/>
    </row>
    <row r="134" customFormat="false" ht="15" hidden="false" customHeight="false" outlineLevel="0" collapsed="false">
      <c r="A134" s="8"/>
      <c r="B134" s="8"/>
      <c r="C134" s="8"/>
      <c r="D134" s="8"/>
      <c r="E134" s="8"/>
      <c r="F134" s="8"/>
      <c r="G134" s="8"/>
      <c r="H134" s="8"/>
      <c r="I134" s="8"/>
      <c r="J134" s="8"/>
    </row>
    <row r="135" customFormat="false" ht="15" hidden="false" customHeight="false" outlineLevel="0" collapsed="false">
      <c r="A135" s="8"/>
      <c r="B135" s="8"/>
      <c r="C135" s="8"/>
      <c r="D135" s="8"/>
      <c r="E135" s="8"/>
      <c r="F135" s="8"/>
      <c r="G135" s="8"/>
      <c r="H135" s="8"/>
      <c r="I135" s="8"/>
      <c r="J135" s="8"/>
    </row>
    <row r="136" customFormat="false" ht="15" hidden="false" customHeight="false" outlineLevel="0" collapsed="false">
      <c r="A136" s="8"/>
      <c r="B136" s="8"/>
      <c r="C136" s="8"/>
      <c r="D136" s="8"/>
      <c r="E136" s="8"/>
      <c r="F136" s="8"/>
      <c r="G136" s="8"/>
      <c r="H136" s="8"/>
      <c r="I136" s="8"/>
      <c r="J136" s="8"/>
    </row>
    <row r="137" customFormat="false" ht="15" hidden="false" customHeight="false" outlineLevel="0" collapsed="false">
      <c r="A137" s="8"/>
      <c r="B137" s="8"/>
      <c r="C137" s="8"/>
      <c r="D137" s="8"/>
      <c r="E137" s="8"/>
      <c r="F137" s="8"/>
      <c r="G137" s="8"/>
      <c r="H137" s="8"/>
      <c r="I137" s="8"/>
      <c r="J137" s="8"/>
    </row>
    <row r="138" customFormat="false" ht="15" hidden="false" customHeight="false" outlineLevel="0" collapsed="false">
      <c r="A138" s="8"/>
      <c r="B138" s="8"/>
      <c r="C138" s="8"/>
      <c r="D138" s="8"/>
      <c r="E138" s="8"/>
      <c r="F138" s="8"/>
      <c r="G138" s="8"/>
      <c r="H138" s="8"/>
      <c r="I138" s="8"/>
      <c r="J138" s="8"/>
    </row>
    <row r="139" customFormat="false" ht="15" hidden="false" customHeight="false" outlineLevel="0" collapsed="false">
      <c r="A139" s="8"/>
      <c r="B139" s="8"/>
      <c r="C139" s="8"/>
      <c r="D139" s="8"/>
      <c r="E139" s="8"/>
      <c r="F139" s="8"/>
      <c r="G139" s="8"/>
      <c r="H139" s="8"/>
      <c r="I139" s="8"/>
      <c r="J139" s="8"/>
    </row>
    <row r="140" customFormat="false" ht="15" hidden="false" customHeight="false" outlineLevel="0" collapsed="false">
      <c r="A140" s="8"/>
      <c r="B140" s="8"/>
      <c r="C140" s="8"/>
      <c r="D140" s="8"/>
      <c r="E140" s="8"/>
      <c r="F140" s="8"/>
      <c r="G140" s="8"/>
      <c r="H140" s="8"/>
      <c r="I140" s="8"/>
      <c r="J140" s="8"/>
    </row>
    <row r="141" customFormat="false" ht="15" hidden="false" customHeight="false" outlineLevel="0" collapsed="false">
      <c r="A141" s="8"/>
      <c r="B141" s="8"/>
      <c r="C141" s="8"/>
      <c r="D141" s="8"/>
      <c r="E141" s="8"/>
      <c r="F141" s="8"/>
      <c r="G141" s="8"/>
      <c r="H141" s="8"/>
      <c r="I141" s="8"/>
      <c r="J141" s="8"/>
    </row>
    <row r="142" customFormat="false" ht="15" hidden="false" customHeight="false" outlineLevel="0" collapsed="false">
      <c r="A142" s="8"/>
      <c r="B142" s="8"/>
      <c r="C142" s="8"/>
      <c r="D142" s="8"/>
      <c r="E142" s="8"/>
      <c r="F142" s="8"/>
      <c r="G142" s="8"/>
      <c r="H142" s="8"/>
      <c r="I142" s="8"/>
      <c r="J142" s="8"/>
    </row>
    <row r="143" customFormat="false" ht="15" hidden="false" customHeight="false" outlineLevel="0" collapsed="false">
      <c r="A143" s="8"/>
      <c r="B143" s="8"/>
      <c r="C143" s="8"/>
      <c r="D143" s="8"/>
      <c r="E143" s="8"/>
      <c r="F143" s="8"/>
      <c r="G143" s="8"/>
      <c r="H143" s="8"/>
      <c r="I143" s="8"/>
      <c r="J143" s="8"/>
    </row>
    <row r="144" customFormat="false" ht="15" hidden="false" customHeight="false" outlineLevel="0" collapsed="false">
      <c r="A144" s="8"/>
      <c r="B144" s="8"/>
      <c r="C144" s="8"/>
      <c r="D144" s="8"/>
      <c r="E144" s="8"/>
      <c r="F144" s="8"/>
      <c r="G144" s="8"/>
      <c r="H144" s="8"/>
      <c r="I144" s="8"/>
      <c r="J144" s="8"/>
    </row>
    <row r="145" customFormat="false" ht="15" hidden="false" customHeight="false" outlineLevel="0" collapsed="false">
      <c r="A145" s="8"/>
      <c r="B145" s="8"/>
      <c r="C145" s="8"/>
      <c r="D145" s="8"/>
      <c r="E145" s="8"/>
      <c r="F145" s="8"/>
      <c r="G145" s="8"/>
      <c r="H145" s="8"/>
      <c r="I145" s="8"/>
      <c r="J145" s="8"/>
    </row>
    <row r="146" customFormat="false" ht="15" hidden="false" customHeight="false" outlineLevel="0" collapsed="false">
      <c r="A146" s="8"/>
      <c r="B146" s="8"/>
      <c r="C146" s="8"/>
      <c r="D146" s="8"/>
      <c r="E146" s="8"/>
      <c r="F146" s="8"/>
      <c r="G146" s="8"/>
      <c r="H146" s="8"/>
      <c r="I146" s="8"/>
      <c r="J146" s="8"/>
    </row>
    <row r="147" customFormat="false" ht="15" hidden="false" customHeight="false" outlineLevel="0" collapsed="false">
      <c r="A147" s="8"/>
      <c r="B147" s="8"/>
      <c r="C147" s="8"/>
      <c r="D147" s="8"/>
      <c r="E147" s="8"/>
      <c r="F147" s="8"/>
      <c r="G147" s="8"/>
      <c r="H147" s="8"/>
      <c r="I147" s="8"/>
      <c r="J147" s="8"/>
    </row>
    <row r="148" customFormat="false" ht="15" hidden="false" customHeight="false" outlineLevel="0" collapsed="false">
      <c r="A148" s="8"/>
      <c r="B148" s="8"/>
      <c r="C148" s="8"/>
      <c r="D148" s="8"/>
      <c r="E148" s="8"/>
      <c r="F148" s="8"/>
      <c r="G148" s="8"/>
      <c r="H148" s="8"/>
      <c r="I148" s="8"/>
      <c r="J148" s="8"/>
    </row>
    <row r="149" customFormat="false" ht="15" hidden="false" customHeight="false" outlineLevel="0" collapsed="false">
      <c r="A149" s="8"/>
      <c r="B149" s="8"/>
      <c r="C149" s="8"/>
      <c r="D149" s="8"/>
      <c r="E149" s="8"/>
      <c r="F149" s="8"/>
      <c r="G149" s="8"/>
      <c r="H149" s="8"/>
      <c r="I149" s="8"/>
      <c r="J149" s="8"/>
    </row>
    <row r="150" customFormat="false" ht="15" hidden="false" customHeight="false" outlineLevel="0" collapsed="false">
      <c r="A150" s="8"/>
      <c r="B150" s="8"/>
      <c r="C150" s="8"/>
      <c r="D150" s="8"/>
      <c r="E150" s="8"/>
      <c r="F150" s="8"/>
      <c r="G150" s="8"/>
      <c r="H150" s="8"/>
      <c r="I150" s="8"/>
      <c r="J150" s="8"/>
    </row>
    <row r="151" customFormat="false" ht="15" hidden="false" customHeight="false" outlineLevel="0" collapsed="false">
      <c r="A151" s="8"/>
      <c r="B151" s="8"/>
      <c r="C151" s="8"/>
      <c r="D151" s="8"/>
      <c r="E151" s="8"/>
      <c r="F151" s="8"/>
      <c r="G151" s="8"/>
      <c r="H151" s="8"/>
      <c r="I151" s="8"/>
      <c r="J151" s="8"/>
    </row>
    <row r="152" customFormat="false" ht="15" hidden="false" customHeight="false" outlineLevel="0" collapsed="false">
      <c r="A152" s="8"/>
      <c r="B152" s="8"/>
      <c r="C152" s="8"/>
      <c r="D152" s="8"/>
      <c r="E152" s="8"/>
      <c r="F152" s="8"/>
      <c r="G152" s="8"/>
      <c r="H152" s="8"/>
      <c r="I152" s="8"/>
      <c r="J152" s="8"/>
    </row>
    <row r="153" customFormat="false" ht="15" hidden="false" customHeight="false" outlineLevel="0" collapsed="false">
      <c r="A153" s="8"/>
      <c r="B153" s="8"/>
      <c r="C153" s="8"/>
      <c r="D153" s="8"/>
      <c r="E153" s="8"/>
      <c r="F153" s="8"/>
      <c r="G153" s="8"/>
      <c r="H153" s="8"/>
      <c r="I153" s="8"/>
      <c r="J153" s="8"/>
    </row>
    <row r="154" customFormat="false" ht="15" hidden="false" customHeight="false" outlineLevel="0" collapsed="false">
      <c r="A154" s="8"/>
      <c r="B154" s="8"/>
      <c r="C154" s="8"/>
      <c r="D154" s="8"/>
      <c r="E154" s="8"/>
      <c r="F154" s="8"/>
      <c r="G154" s="8"/>
      <c r="H154" s="8"/>
      <c r="I154" s="8"/>
      <c r="J154" s="8"/>
    </row>
    <row r="155" customFormat="false" ht="15" hidden="false" customHeight="false" outlineLevel="0" collapsed="false">
      <c r="A155" s="8"/>
      <c r="B155" s="8"/>
      <c r="C155" s="8"/>
      <c r="D155" s="8"/>
      <c r="E155" s="8"/>
      <c r="F155" s="8"/>
      <c r="G155" s="8"/>
      <c r="H155" s="8"/>
      <c r="I155" s="8"/>
      <c r="J155" s="8"/>
    </row>
    <row r="156" customFormat="false" ht="15" hidden="false" customHeight="false" outlineLevel="0" collapsed="false">
      <c r="A156" s="8"/>
      <c r="B156" s="8"/>
      <c r="C156" s="8"/>
      <c r="D156" s="8"/>
      <c r="E156" s="8"/>
      <c r="F156" s="8"/>
      <c r="G156" s="8"/>
      <c r="H156" s="8"/>
      <c r="I156" s="8"/>
      <c r="J156" s="8"/>
    </row>
    <row r="157" customFormat="false" ht="15" hidden="false" customHeight="false" outlineLevel="0" collapsed="false">
      <c r="A157" s="8"/>
      <c r="B157" s="8"/>
      <c r="C157" s="8"/>
      <c r="D157" s="8"/>
      <c r="E157" s="8"/>
      <c r="F157" s="8"/>
      <c r="G157" s="8"/>
      <c r="H157" s="8"/>
      <c r="I157" s="8"/>
      <c r="J157" s="8"/>
    </row>
    <row r="158" customFormat="false" ht="15" hidden="false" customHeight="false" outlineLevel="0" collapsed="false">
      <c r="A158" s="8"/>
      <c r="B158" s="8"/>
      <c r="C158" s="8"/>
      <c r="D158" s="8"/>
      <c r="E158" s="8"/>
      <c r="F158" s="8"/>
      <c r="G158" s="8"/>
      <c r="H158" s="8"/>
      <c r="I158" s="8"/>
      <c r="J158" s="8"/>
    </row>
    <row r="159" customFormat="false" ht="15" hidden="false" customHeight="false" outlineLevel="0" collapsed="false">
      <c r="A159" s="8"/>
      <c r="B159" s="8"/>
      <c r="C159" s="8"/>
      <c r="D159" s="8"/>
      <c r="E159" s="8"/>
      <c r="F159" s="8"/>
      <c r="G159" s="8"/>
      <c r="H159" s="8"/>
      <c r="I159" s="8"/>
      <c r="J159" s="8"/>
    </row>
    <row r="160" customFormat="false" ht="15" hidden="false" customHeight="false" outlineLevel="0" collapsed="false">
      <c r="A160" s="8"/>
      <c r="B160" s="8"/>
      <c r="C160" s="8"/>
      <c r="D160" s="8"/>
      <c r="E160" s="8"/>
      <c r="F160" s="8"/>
      <c r="G160" s="8"/>
      <c r="H160" s="8"/>
      <c r="I160" s="8"/>
      <c r="J160" s="8"/>
    </row>
    <row r="161" customFormat="false" ht="15" hidden="false" customHeight="false" outlineLevel="0" collapsed="false">
      <c r="A161" s="8"/>
      <c r="B161" s="8"/>
      <c r="C161" s="8"/>
      <c r="D161" s="8"/>
      <c r="E161" s="8"/>
      <c r="F161" s="8"/>
      <c r="G161" s="8"/>
      <c r="H161" s="8"/>
      <c r="I161" s="8"/>
      <c r="J161" s="8"/>
    </row>
    <row r="162" customFormat="false" ht="15" hidden="false" customHeight="false" outlineLevel="0" collapsed="false">
      <c r="A162" s="8"/>
      <c r="B162" s="8"/>
      <c r="C162" s="8"/>
      <c r="D162" s="8"/>
      <c r="E162" s="8"/>
      <c r="F162" s="8"/>
      <c r="G162" s="8"/>
      <c r="H162" s="8"/>
      <c r="I162" s="8"/>
      <c r="J162" s="8"/>
    </row>
    <row r="163" customFormat="false" ht="15" hidden="false" customHeight="false" outlineLevel="0" collapsed="false">
      <c r="A163" s="8"/>
      <c r="B163" s="8"/>
      <c r="C163" s="8"/>
      <c r="D163" s="8"/>
      <c r="E163" s="8"/>
      <c r="F163" s="8"/>
      <c r="G163" s="8"/>
      <c r="H163" s="8"/>
      <c r="I163" s="8"/>
      <c r="J163" s="8"/>
    </row>
    <row r="164" customFormat="false" ht="15" hidden="false" customHeight="false" outlineLevel="0" collapsed="false">
      <c r="A164" s="8"/>
      <c r="B164" s="8"/>
      <c r="C164" s="8"/>
      <c r="D164" s="8"/>
      <c r="E164" s="8"/>
      <c r="F164" s="8"/>
      <c r="G164" s="8"/>
      <c r="H164" s="8"/>
      <c r="I164" s="8"/>
      <c r="J164" s="8"/>
    </row>
    <row r="165" customFormat="false" ht="15" hidden="false" customHeight="false" outlineLevel="0" collapsed="false">
      <c r="A165" s="8"/>
      <c r="B165" s="8"/>
      <c r="C165" s="8"/>
      <c r="D165" s="8"/>
      <c r="E165" s="8"/>
      <c r="F165" s="8"/>
      <c r="G165" s="8"/>
      <c r="H165" s="8"/>
      <c r="I165" s="8"/>
      <c r="J165" s="8"/>
    </row>
    <row r="166" customFormat="false" ht="15" hidden="false" customHeight="false" outlineLevel="0" collapsed="false">
      <c r="A166" s="8"/>
      <c r="B166" s="8"/>
      <c r="C166" s="8"/>
      <c r="D166" s="8"/>
      <c r="E166" s="8"/>
      <c r="F166" s="8"/>
      <c r="G166" s="8"/>
      <c r="H166" s="8"/>
      <c r="I166" s="8"/>
      <c r="J166" s="8"/>
    </row>
    <row r="167" customFormat="false" ht="15" hidden="false" customHeight="false" outlineLevel="0" collapsed="false">
      <c r="A167" s="8"/>
      <c r="B167" s="8"/>
      <c r="C167" s="8"/>
      <c r="D167" s="8"/>
      <c r="E167" s="8"/>
      <c r="F167" s="8"/>
      <c r="G167" s="8"/>
      <c r="H167" s="8"/>
      <c r="I167" s="8"/>
      <c r="J167" s="8"/>
    </row>
    <row r="168" customFormat="false" ht="15" hidden="false" customHeight="false" outlineLevel="0" collapsed="false">
      <c r="A168" s="8"/>
      <c r="B168" s="8"/>
      <c r="C168" s="8"/>
      <c r="D168" s="8"/>
      <c r="E168" s="8"/>
      <c r="F168" s="8"/>
      <c r="G168" s="8"/>
      <c r="H168" s="8"/>
      <c r="I168" s="8"/>
      <c r="J168" s="8"/>
    </row>
    <row r="169" customFormat="false" ht="15" hidden="false" customHeight="false" outlineLevel="0" collapsed="false">
      <c r="A169" s="8"/>
      <c r="B169" s="8"/>
      <c r="C169" s="8"/>
      <c r="D169" s="8"/>
      <c r="E169" s="8"/>
      <c r="F169" s="8"/>
      <c r="G169" s="8"/>
      <c r="H169" s="8"/>
      <c r="I169" s="8"/>
      <c r="J169" s="8"/>
    </row>
    <row r="170" customFormat="false" ht="15" hidden="false" customHeight="false" outlineLevel="0" collapsed="false">
      <c r="A170" s="8"/>
      <c r="B170" s="8"/>
      <c r="C170" s="8"/>
      <c r="D170" s="8"/>
      <c r="E170" s="8"/>
      <c r="F170" s="8"/>
      <c r="G170" s="8"/>
      <c r="H170" s="8"/>
      <c r="I170" s="8"/>
      <c r="J170" s="8"/>
    </row>
    <row r="171" customFormat="false" ht="15" hidden="false" customHeight="false" outlineLevel="0" collapsed="false">
      <c r="A171" s="8"/>
      <c r="B171" s="8"/>
      <c r="C171" s="8"/>
      <c r="D171" s="8"/>
      <c r="E171" s="8"/>
      <c r="F171" s="8"/>
      <c r="G171" s="8"/>
      <c r="H171" s="8"/>
      <c r="I171" s="8"/>
      <c r="J171" s="8"/>
    </row>
    <row r="172" customFormat="false" ht="15" hidden="false" customHeight="false" outlineLevel="0" collapsed="false">
      <c r="A172" s="8"/>
      <c r="B172" s="8"/>
      <c r="C172" s="8"/>
      <c r="D172" s="8"/>
      <c r="E172" s="8"/>
      <c r="F172" s="8"/>
      <c r="G172" s="8"/>
      <c r="H172" s="8"/>
      <c r="I172" s="8"/>
      <c r="J172" s="8"/>
    </row>
    <row r="173" customFormat="false" ht="15" hidden="false" customHeight="false" outlineLevel="0" collapsed="false">
      <c r="A173" s="8"/>
      <c r="B173" s="8"/>
      <c r="C173" s="8"/>
      <c r="D173" s="8"/>
      <c r="E173" s="8"/>
      <c r="F173" s="8"/>
      <c r="G173" s="8"/>
      <c r="H173" s="8"/>
      <c r="I173" s="8"/>
      <c r="J173" s="8"/>
    </row>
    <row r="174" customFormat="false" ht="15" hidden="false" customHeight="false" outlineLevel="0" collapsed="false">
      <c r="A174" s="8"/>
      <c r="B174" s="8"/>
      <c r="C174" s="8"/>
      <c r="D174" s="8"/>
      <c r="E174" s="8"/>
      <c r="F174" s="8"/>
      <c r="G174" s="8"/>
      <c r="H174" s="8"/>
      <c r="I174" s="8"/>
      <c r="J174" s="8"/>
    </row>
    <row r="175" customFormat="false" ht="15" hidden="false" customHeight="false" outlineLevel="0" collapsed="false">
      <c r="A175" s="8"/>
      <c r="B175" s="8"/>
      <c r="C175" s="8"/>
      <c r="D175" s="8"/>
      <c r="E175" s="8"/>
      <c r="F175" s="8"/>
      <c r="G175" s="8"/>
      <c r="H175" s="8"/>
      <c r="I175" s="8"/>
      <c r="J175" s="8"/>
    </row>
    <row r="176" customFormat="false" ht="15" hidden="false" customHeight="false" outlineLevel="0" collapsed="false">
      <c r="A176" s="8"/>
      <c r="B176" s="8"/>
      <c r="C176" s="8"/>
      <c r="D176" s="8"/>
      <c r="E176" s="8"/>
      <c r="F176" s="8"/>
      <c r="G176" s="8"/>
      <c r="H176" s="8"/>
      <c r="I176" s="8"/>
      <c r="J176" s="8"/>
    </row>
    <row r="177" customFormat="false" ht="15" hidden="false" customHeight="false" outlineLevel="0" collapsed="false">
      <c r="A177" s="8"/>
      <c r="B177" s="8"/>
      <c r="C177" s="8"/>
      <c r="D177" s="8"/>
      <c r="E177" s="8"/>
      <c r="F177" s="8"/>
      <c r="G177" s="8"/>
      <c r="H177" s="8"/>
      <c r="I177" s="8"/>
      <c r="J177" s="8"/>
    </row>
    <row r="178" customFormat="false" ht="15" hidden="false" customHeight="false" outlineLevel="0" collapsed="false">
      <c r="A178" s="8"/>
      <c r="B178" s="8"/>
      <c r="C178" s="8"/>
      <c r="D178" s="8"/>
      <c r="E178" s="8"/>
      <c r="F178" s="8"/>
      <c r="G178" s="8"/>
      <c r="H178" s="8"/>
      <c r="I178" s="8"/>
      <c r="J178" s="8"/>
    </row>
    <row r="179" customFormat="false" ht="15" hidden="false" customHeight="false" outlineLevel="0" collapsed="false">
      <c r="A179" s="8"/>
      <c r="B179" s="8"/>
      <c r="C179" s="8"/>
      <c r="D179" s="8"/>
      <c r="E179" s="8"/>
      <c r="F179" s="8"/>
      <c r="G179" s="8"/>
      <c r="H179" s="8"/>
      <c r="I179" s="8"/>
      <c r="J179" s="8"/>
    </row>
    <row r="180" customFormat="false" ht="15" hidden="false" customHeight="false" outlineLevel="0" collapsed="false">
      <c r="A180" s="8"/>
      <c r="B180" s="8"/>
      <c r="C180" s="8"/>
      <c r="D180" s="8"/>
      <c r="E180" s="8"/>
      <c r="F180" s="8"/>
      <c r="G180" s="8"/>
      <c r="H180" s="8"/>
      <c r="I180" s="8"/>
      <c r="J180" s="8"/>
    </row>
    <row r="181" customFormat="false" ht="15" hidden="false" customHeight="false" outlineLevel="0" collapsed="false">
      <c r="A181" s="8"/>
      <c r="B181" s="8"/>
      <c r="C181" s="8"/>
      <c r="D181" s="8"/>
      <c r="E181" s="8"/>
      <c r="F181" s="8"/>
      <c r="G181" s="8"/>
      <c r="H181" s="8"/>
      <c r="I181" s="8"/>
      <c r="J181" s="8"/>
    </row>
    <row r="182" customFormat="false" ht="15" hidden="false" customHeight="false" outlineLevel="0" collapsed="false">
      <c r="A182" s="8"/>
      <c r="B182" s="8"/>
      <c r="C182" s="8"/>
      <c r="D182" s="8"/>
      <c r="E182" s="8"/>
      <c r="F182" s="8"/>
      <c r="G182" s="8"/>
      <c r="H182" s="8"/>
      <c r="I182" s="8"/>
      <c r="J182" s="8"/>
    </row>
    <row r="183" customFormat="false" ht="15" hidden="false" customHeight="false" outlineLevel="0" collapsed="false">
      <c r="A183" s="8"/>
      <c r="B183" s="8"/>
      <c r="C183" s="8"/>
      <c r="D183" s="8"/>
      <c r="E183" s="8"/>
      <c r="F183" s="8"/>
      <c r="G183" s="8"/>
      <c r="H183" s="8"/>
      <c r="I183" s="8"/>
      <c r="J183" s="8"/>
    </row>
    <row r="184" customFormat="false" ht="15" hidden="false" customHeight="false" outlineLevel="0" collapsed="false">
      <c r="A184" s="8"/>
      <c r="B184" s="8"/>
      <c r="C184" s="8"/>
      <c r="D184" s="8"/>
      <c r="E184" s="8"/>
      <c r="F184" s="8"/>
      <c r="G184" s="8"/>
      <c r="H184" s="8"/>
      <c r="I184" s="8"/>
      <c r="J184" s="8"/>
    </row>
    <row r="185" customFormat="false" ht="15" hidden="false" customHeight="false" outlineLevel="0" collapsed="false">
      <c r="A185" s="8"/>
      <c r="B185" s="8"/>
      <c r="C185" s="8"/>
      <c r="D185" s="8"/>
      <c r="E185" s="8"/>
      <c r="F185" s="8"/>
      <c r="G185" s="8"/>
      <c r="H185" s="8"/>
      <c r="I185" s="8"/>
      <c r="J185" s="8"/>
    </row>
    <row r="186" customFormat="false" ht="15" hidden="false" customHeight="false" outlineLevel="0" collapsed="false">
      <c r="A186" s="8"/>
      <c r="B186" s="8"/>
      <c r="C186" s="8"/>
      <c r="D186" s="8"/>
      <c r="E186" s="8"/>
      <c r="F186" s="8"/>
      <c r="G186" s="8"/>
      <c r="H186" s="8"/>
      <c r="I186" s="8"/>
      <c r="J186" s="8"/>
    </row>
    <row r="187" customFormat="false" ht="15" hidden="false" customHeight="false" outlineLevel="0" collapsed="false">
      <c r="A187" s="8"/>
      <c r="B187" s="8"/>
      <c r="C187" s="8"/>
      <c r="D187" s="8"/>
      <c r="E187" s="8"/>
      <c r="F187" s="8"/>
      <c r="G187" s="8"/>
      <c r="H187" s="8"/>
      <c r="I187" s="8"/>
      <c r="J187" s="8"/>
    </row>
    <row r="188" customFormat="false" ht="15" hidden="false" customHeight="false" outlineLevel="0" collapsed="false">
      <c r="A188" s="8"/>
      <c r="B188" s="8"/>
      <c r="C188" s="8"/>
      <c r="D188" s="8"/>
      <c r="E188" s="8"/>
      <c r="F188" s="8"/>
      <c r="G188" s="8"/>
      <c r="H188" s="8"/>
      <c r="I188" s="8"/>
      <c r="J188" s="8"/>
    </row>
    <row r="189" customFormat="false" ht="15" hidden="false" customHeight="false" outlineLevel="0" collapsed="false">
      <c r="A189" s="8"/>
      <c r="B189" s="8"/>
      <c r="C189" s="8"/>
      <c r="D189" s="8"/>
      <c r="E189" s="8"/>
      <c r="F189" s="8"/>
      <c r="G189" s="8"/>
      <c r="H189" s="8"/>
      <c r="I189" s="8"/>
      <c r="J189" s="8"/>
    </row>
    <row r="190" customFormat="false" ht="15" hidden="false" customHeight="false" outlineLevel="0" collapsed="false">
      <c r="A190" s="8"/>
      <c r="B190" s="8"/>
      <c r="C190" s="8"/>
      <c r="D190" s="8"/>
      <c r="E190" s="8"/>
      <c r="F190" s="8"/>
      <c r="G190" s="8"/>
      <c r="H190" s="8"/>
      <c r="I190" s="8"/>
      <c r="J190" s="8"/>
    </row>
    <row r="191" customFormat="false" ht="15" hidden="false" customHeight="false" outlineLevel="0" collapsed="false">
      <c r="A191" s="8"/>
      <c r="B191" s="8"/>
      <c r="C191" s="8"/>
      <c r="D191" s="8"/>
      <c r="E191" s="8"/>
      <c r="F191" s="8"/>
      <c r="G191" s="8"/>
      <c r="H191" s="8"/>
      <c r="I191" s="8"/>
      <c r="J191" s="8"/>
    </row>
    <row r="192" customFormat="false" ht="15" hidden="false" customHeight="false" outlineLevel="0" collapsed="false">
      <c r="A192" s="8"/>
      <c r="B192" s="8"/>
      <c r="C192" s="8"/>
      <c r="D192" s="8"/>
      <c r="E192" s="8"/>
      <c r="F192" s="8"/>
      <c r="G192" s="8"/>
      <c r="H192" s="8"/>
      <c r="I192" s="8"/>
      <c r="J192" s="8"/>
    </row>
    <row r="193" customFormat="false" ht="15" hidden="false" customHeight="false" outlineLevel="0" collapsed="false">
      <c r="A193" s="8"/>
      <c r="B193" s="8"/>
      <c r="C193" s="8"/>
      <c r="D193" s="8"/>
      <c r="E193" s="8"/>
      <c r="F193" s="8"/>
      <c r="G193" s="8"/>
      <c r="H193" s="8"/>
      <c r="I193" s="8"/>
      <c r="J193" s="8"/>
    </row>
    <row r="194" customFormat="false" ht="15" hidden="false" customHeight="false" outlineLevel="0" collapsed="false">
      <c r="A194" s="8"/>
      <c r="B194" s="8"/>
      <c r="C194" s="8"/>
      <c r="D194" s="8"/>
      <c r="E194" s="8"/>
      <c r="F194" s="8"/>
      <c r="G194" s="8"/>
      <c r="H194" s="8"/>
      <c r="I194" s="8"/>
      <c r="J194" s="8"/>
    </row>
    <row r="195" customFormat="false" ht="15" hidden="false" customHeight="false" outlineLevel="0" collapsed="false">
      <c r="A195" s="8"/>
      <c r="B195" s="8"/>
      <c r="C195" s="8"/>
      <c r="D195" s="8"/>
      <c r="E195" s="8"/>
      <c r="F195" s="8"/>
      <c r="G195" s="8"/>
      <c r="H195" s="8"/>
      <c r="I195" s="8"/>
      <c r="J195" s="8"/>
    </row>
    <row r="196" customFormat="false" ht="15" hidden="false" customHeight="false" outlineLevel="0" collapsed="false">
      <c r="A196" s="8"/>
      <c r="B196" s="8"/>
      <c r="C196" s="8"/>
      <c r="D196" s="8"/>
      <c r="E196" s="8"/>
      <c r="F196" s="8"/>
      <c r="G196" s="8"/>
      <c r="H196" s="8"/>
      <c r="I196" s="8"/>
      <c r="J196" s="8"/>
    </row>
    <row r="197" customFormat="false" ht="15" hidden="false" customHeight="false" outlineLevel="0" collapsed="false">
      <c r="A197" s="8"/>
      <c r="B197" s="8"/>
      <c r="C197" s="8"/>
      <c r="D197" s="8"/>
      <c r="E197" s="8"/>
      <c r="F197" s="8"/>
      <c r="G197" s="8"/>
      <c r="H197" s="8"/>
      <c r="I197" s="8"/>
      <c r="J197" s="8"/>
    </row>
    <row r="198" customFormat="false" ht="15" hidden="false" customHeight="false" outlineLevel="0" collapsed="false">
      <c r="A198" s="8"/>
      <c r="B198" s="8"/>
      <c r="C198" s="8"/>
      <c r="D198" s="8"/>
      <c r="E198" s="8"/>
      <c r="F198" s="8"/>
      <c r="G198" s="8"/>
      <c r="H198" s="8"/>
      <c r="I198" s="8"/>
      <c r="J198" s="8"/>
    </row>
    <row r="199" customFormat="false" ht="15" hidden="false" customHeight="false" outlineLevel="0" collapsed="false">
      <c r="A199" s="8"/>
      <c r="B199" s="8"/>
      <c r="C199" s="8"/>
      <c r="D199" s="8"/>
      <c r="E199" s="8"/>
      <c r="F199" s="8"/>
      <c r="G199" s="8"/>
      <c r="H199" s="8"/>
      <c r="I199" s="8"/>
      <c r="J199" s="8"/>
    </row>
    <row r="200" customFormat="false" ht="15" hidden="false" customHeight="false" outlineLevel="0" collapsed="false">
      <c r="A200" s="8"/>
      <c r="B200" s="8"/>
      <c r="C200" s="8"/>
      <c r="D200" s="8"/>
      <c r="E200" s="8"/>
      <c r="F200" s="8"/>
      <c r="G200" s="8"/>
      <c r="H200" s="8"/>
      <c r="I200" s="8"/>
      <c r="J200" s="8"/>
    </row>
    <row r="201" customFormat="false" ht="15" hidden="false" customHeight="false" outlineLevel="0" collapsed="false">
      <c r="A201" s="8"/>
      <c r="B201" s="8"/>
      <c r="C201" s="8"/>
      <c r="D201" s="8"/>
      <c r="E201" s="8"/>
      <c r="F201" s="8"/>
      <c r="G201" s="8"/>
      <c r="H201" s="8"/>
      <c r="I201" s="8"/>
      <c r="J201" s="8"/>
    </row>
    <row r="202" customFormat="false" ht="15" hidden="false" customHeight="false" outlineLevel="0" collapsed="false">
      <c r="A202" s="8"/>
      <c r="B202" s="8"/>
      <c r="C202" s="8"/>
      <c r="D202" s="8"/>
      <c r="E202" s="8"/>
      <c r="F202" s="8"/>
      <c r="G202" s="8"/>
      <c r="H202" s="8"/>
      <c r="I202" s="8"/>
      <c r="J202" s="8"/>
    </row>
    <row r="203" customFormat="false" ht="15" hidden="false" customHeight="false" outlineLevel="0" collapsed="false">
      <c r="A203" s="8"/>
      <c r="B203" s="8"/>
      <c r="C203" s="8"/>
      <c r="D203" s="8"/>
      <c r="E203" s="8"/>
      <c r="F203" s="8"/>
      <c r="G203" s="8"/>
      <c r="H203" s="8"/>
      <c r="I203" s="8"/>
      <c r="J203" s="8"/>
    </row>
    <row r="204" customFormat="false" ht="15" hidden="false" customHeight="false" outlineLevel="0" collapsed="false">
      <c r="A204" s="8"/>
      <c r="B204" s="8"/>
      <c r="C204" s="8"/>
      <c r="D204" s="8"/>
      <c r="E204" s="8"/>
      <c r="F204" s="8"/>
      <c r="G204" s="8"/>
      <c r="H204" s="8"/>
      <c r="I204" s="8"/>
      <c r="J204" s="8"/>
    </row>
    <row r="205" customFormat="false" ht="15" hidden="false" customHeight="false" outlineLevel="0" collapsed="false">
      <c r="A205" s="8"/>
      <c r="B205" s="8"/>
      <c r="C205" s="8"/>
      <c r="D205" s="8"/>
      <c r="E205" s="8"/>
      <c r="F205" s="8"/>
      <c r="G205" s="8"/>
      <c r="H205" s="8"/>
      <c r="I205" s="8"/>
      <c r="J205" s="8"/>
    </row>
  </sheetData>
  <dataValidations count="3">
    <dataValidation allowBlank="true" errorStyle="stop" operator="between" showDropDown="false" showErrorMessage="false" showInputMessage="false" sqref="F6:F205" type="whole">
      <formula1>1</formula1>
      <formula2>5</formula2>
    </dataValidation>
    <dataValidation allowBlank="true" errorStyle="stop" operator="between" showDropDown="false" showErrorMessage="false" showInputMessage="false" sqref="C6:C205" type="whole">
      <formula1>1</formula1>
      <formula2>12</formula2>
    </dataValidation>
    <dataValidation allowBlank="true" errorStyle="stop" operator="between" showDropDown="false" showErrorMessage="false" showInputMessage="false" sqref="I6:I205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6" min="4" style="0" width="12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5" t="s">
        <v>187</v>
      </c>
    </row>
    <row r="2" customFormat="false" ht="15" hidden="false" customHeight="false" outlineLevel="0" collapsed="false">
      <c r="A2" s="6" t="s">
        <v>188</v>
      </c>
    </row>
    <row r="3" customFormat="false" ht="15" hidden="false" customHeight="false" outlineLevel="0" collapsed="false">
      <c r="A3" s="20" t="s">
        <v>72</v>
      </c>
    </row>
    <row r="4" customFormat="false" ht="15" hidden="false" customHeight="false" outlineLevel="0" collapsed="false">
      <c r="A4" s="21" t="s">
        <v>75</v>
      </c>
      <c r="B4" s="21" t="s">
        <v>189</v>
      </c>
      <c r="C4" s="21" t="s">
        <v>190</v>
      </c>
      <c r="D4" s="21" t="s">
        <v>191</v>
      </c>
      <c r="E4" s="21" t="s">
        <v>192</v>
      </c>
      <c r="F4" s="21" t="n">
        <v>35</v>
      </c>
      <c r="G4" s="21" t="n">
        <v>4</v>
      </c>
    </row>
    <row r="5" customFormat="false" ht="42" hidden="false" customHeight="true" outlineLevel="0" collapsed="false">
      <c r="A5" s="22" t="s">
        <v>87</v>
      </c>
      <c r="B5" s="22" t="s">
        <v>193</v>
      </c>
      <c r="C5" s="22" t="s">
        <v>194</v>
      </c>
      <c r="D5" s="22" t="s">
        <v>195</v>
      </c>
      <c r="E5" s="22" t="s">
        <v>178</v>
      </c>
      <c r="F5" s="22" t="s">
        <v>196</v>
      </c>
      <c r="G5" s="22" t="s">
        <v>197</v>
      </c>
    </row>
    <row r="6" customFormat="false" ht="15" hidden="false" customHeight="false" outlineLevel="0" collapsed="false">
      <c r="A6" s="8"/>
      <c r="B6" s="8"/>
      <c r="C6" s="8"/>
      <c r="D6" s="8"/>
      <c r="E6" s="8"/>
      <c r="F6" s="8"/>
      <c r="G6" s="8"/>
    </row>
    <row r="7" customFormat="false" ht="15" hidden="false" customHeight="false" outlineLevel="0" collapsed="false">
      <c r="A7" s="8"/>
      <c r="B7" s="8"/>
      <c r="C7" s="8"/>
      <c r="D7" s="8"/>
      <c r="E7" s="8"/>
      <c r="F7" s="8"/>
      <c r="G7" s="8"/>
    </row>
    <row r="8" customFormat="false" ht="15" hidden="false" customHeight="false" outlineLevel="0" collapsed="false">
      <c r="A8" s="8"/>
      <c r="B8" s="8"/>
      <c r="C8" s="8"/>
      <c r="D8" s="8"/>
      <c r="E8" s="8"/>
      <c r="F8" s="8"/>
      <c r="G8" s="8"/>
    </row>
    <row r="9" customFormat="false" ht="15" hidden="false" customHeight="false" outlineLevel="0" collapsed="false">
      <c r="A9" s="8"/>
      <c r="B9" s="8"/>
      <c r="C9" s="8"/>
      <c r="D9" s="8"/>
      <c r="E9" s="8"/>
      <c r="F9" s="8"/>
      <c r="G9" s="8"/>
    </row>
    <row r="10" customFormat="false" ht="15" hidden="false" customHeight="false" outlineLevel="0" collapsed="false">
      <c r="A10" s="8"/>
      <c r="B10" s="8"/>
      <c r="C10" s="8"/>
      <c r="D10" s="8"/>
      <c r="E10" s="8"/>
      <c r="F10" s="8"/>
      <c r="G10" s="8"/>
    </row>
    <row r="11" customFormat="false" ht="15" hidden="false" customHeight="false" outlineLevel="0" collapsed="false">
      <c r="A11" s="8"/>
      <c r="B11" s="8"/>
      <c r="C11" s="8"/>
      <c r="D11" s="8"/>
      <c r="E11" s="8"/>
      <c r="F11" s="8"/>
      <c r="G11" s="8"/>
    </row>
    <row r="12" customFormat="false" ht="15" hidden="false" customHeight="false" outlineLevel="0" collapsed="false">
      <c r="A12" s="8"/>
      <c r="B12" s="8"/>
      <c r="C12" s="8"/>
      <c r="D12" s="8"/>
      <c r="E12" s="8"/>
      <c r="F12" s="8"/>
      <c r="G12" s="8"/>
    </row>
    <row r="13" customFormat="false" ht="15" hidden="false" customHeight="false" outlineLevel="0" collapsed="false">
      <c r="A13" s="8"/>
      <c r="B13" s="8"/>
      <c r="C13" s="8"/>
      <c r="D13" s="8"/>
      <c r="E13" s="8"/>
      <c r="F13" s="8"/>
      <c r="G13" s="8"/>
    </row>
    <row r="14" customFormat="false" ht="15" hidden="false" customHeight="false" outlineLevel="0" collapsed="false">
      <c r="A14" s="8"/>
      <c r="B14" s="8"/>
      <c r="C14" s="8"/>
      <c r="D14" s="8"/>
      <c r="E14" s="8"/>
      <c r="F14" s="8"/>
      <c r="G14" s="8"/>
    </row>
    <row r="15" customFormat="false" ht="15" hidden="false" customHeight="false" outlineLevel="0" collapsed="false">
      <c r="A15" s="8"/>
      <c r="B15" s="8"/>
      <c r="C15" s="8"/>
      <c r="D15" s="8"/>
      <c r="E15" s="8"/>
      <c r="F15" s="8"/>
      <c r="G15" s="8"/>
    </row>
    <row r="16" customFormat="false" ht="15" hidden="false" customHeight="false" outlineLevel="0" collapsed="false">
      <c r="A16" s="8"/>
      <c r="B16" s="8"/>
      <c r="C16" s="8"/>
      <c r="D16" s="8"/>
      <c r="E16" s="8"/>
      <c r="F16" s="8"/>
      <c r="G16" s="8"/>
    </row>
    <row r="17" customFormat="false" ht="15" hidden="false" customHeight="false" outlineLevel="0" collapsed="false">
      <c r="A17" s="8"/>
      <c r="B17" s="8"/>
      <c r="C17" s="8"/>
      <c r="D17" s="8"/>
      <c r="E17" s="8"/>
      <c r="F17" s="8"/>
      <c r="G17" s="8"/>
    </row>
    <row r="18" customFormat="false" ht="15" hidden="false" customHeight="false" outlineLevel="0" collapsed="false">
      <c r="A18" s="8"/>
      <c r="B18" s="8"/>
      <c r="C18" s="8"/>
      <c r="D18" s="8"/>
      <c r="E18" s="8"/>
      <c r="F18" s="8"/>
      <c r="G18" s="8"/>
    </row>
    <row r="19" customFormat="false" ht="15" hidden="false" customHeight="false" outlineLevel="0" collapsed="false">
      <c r="A19" s="8"/>
      <c r="B19" s="8"/>
      <c r="C19" s="8"/>
      <c r="D19" s="8"/>
      <c r="E19" s="8"/>
      <c r="F19" s="8"/>
      <c r="G19" s="8"/>
    </row>
    <row r="20" customFormat="false" ht="15" hidden="false" customHeight="false" outlineLevel="0" collapsed="false">
      <c r="A20" s="8"/>
      <c r="B20" s="8"/>
      <c r="C20" s="8"/>
      <c r="D20" s="8"/>
      <c r="E20" s="8"/>
      <c r="F20" s="8"/>
      <c r="G20" s="8"/>
    </row>
    <row r="21" customFormat="false" ht="15" hidden="false" customHeight="false" outlineLevel="0" collapsed="false">
      <c r="A21" s="8"/>
      <c r="B21" s="8"/>
      <c r="C21" s="8"/>
      <c r="D21" s="8"/>
      <c r="E21" s="8"/>
      <c r="F21" s="8"/>
      <c r="G21" s="8"/>
    </row>
    <row r="22" customFormat="false" ht="15" hidden="false" customHeight="false" outlineLevel="0" collapsed="false">
      <c r="A22" s="8"/>
      <c r="B22" s="8"/>
      <c r="C22" s="8"/>
      <c r="D22" s="8"/>
      <c r="E22" s="8"/>
      <c r="F22" s="8"/>
      <c r="G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</row>
    <row r="24" customFormat="false" ht="15" hidden="false" customHeight="false" outlineLevel="0" collapsed="false">
      <c r="A24" s="8"/>
      <c r="B24" s="8"/>
      <c r="C24" s="8"/>
      <c r="D24" s="8"/>
      <c r="E24" s="8"/>
      <c r="F24" s="8"/>
      <c r="G24" s="8"/>
    </row>
    <row r="25" customFormat="false" ht="15" hidden="false" customHeight="false" outlineLevel="0" collapsed="false">
      <c r="A25" s="8"/>
      <c r="B25" s="8"/>
      <c r="C25" s="8"/>
      <c r="D25" s="8"/>
      <c r="E25" s="8"/>
      <c r="F25" s="8"/>
      <c r="G25" s="8"/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8"/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8"/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</row>
    <row r="31" customFormat="false" ht="15" hidden="false" customHeight="false" outlineLevel="0" collapsed="false">
      <c r="A31" s="8"/>
      <c r="B31" s="8"/>
      <c r="C31" s="8"/>
      <c r="D31" s="8"/>
      <c r="E31" s="8"/>
      <c r="F31" s="8"/>
      <c r="G31" s="8"/>
    </row>
    <row r="32" customFormat="false" ht="15" hidden="false" customHeight="false" outlineLevel="0" collapsed="false">
      <c r="A32" s="8"/>
      <c r="B32" s="8"/>
      <c r="C32" s="8"/>
      <c r="D32" s="8"/>
      <c r="E32" s="8"/>
      <c r="F32" s="8"/>
      <c r="G32" s="8"/>
    </row>
    <row r="33" customFormat="false" ht="15" hidden="false" customHeight="false" outlineLevel="0" collapsed="false">
      <c r="A33" s="8"/>
      <c r="B33" s="8"/>
      <c r="C33" s="8"/>
      <c r="D33" s="8"/>
      <c r="E33" s="8"/>
      <c r="F33" s="8"/>
      <c r="G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</row>
    <row r="53" customFormat="false" ht="15" hidden="false" customHeight="false" outlineLevel="0" collapsed="false">
      <c r="A53" s="8"/>
      <c r="B53" s="8"/>
      <c r="C53" s="8"/>
      <c r="D53" s="8"/>
      <c r="E53" s="8"/>
      <c r="F53" s="8"/>
      <c r="G53" s="8"/>
    </row>
    <row r="54" customFormat="false" ht="15" hidden="false" customHeight="false" outlineLevel="0" collapsed="false">
      <c r="A54" s="8"/>
      <c r="B54" s="8"/>
      <c r="C54" s="8"/>
      <c r="D54" s="8"/>
      <c r="E54" s="8"/>
      <c r="F54" s="8"/>
      <c r="G54" s="8"/>
    </row>
    <row r="55" customFormat="false" ht="15" hidden="false" customHeight="false" outlineLevel="0" collapsed="false">
      <c r="A55" s="8"/>
      <c r="B55" s="8"/>
      <c r="C55" s="8"/>
      <c r="D55" s="8"/>
      <c r="E55" s="8"/>
      <c r="F55" s="8"/>
      <c r="G55" s="8"/>
    </row>
    <row r="56" customFormat="false" ht="15" hidden="false" customHeight="false" outlineLevel="0" collapsed="false">
      <c r="A56" s="8"/>
      <c r="B56" s="8"/>
      <c r="C56" s="8"/>
      <c r="D56" s="8"/>
      <c r="E56" s="8"/>
      <c r="F56" s="8"/>
      <c r="G56" s="8"/>
    </row>
    <row r="57" customFormat="false" ht="15" hidden="false" customHeight="false" outlineLevel="0" collapsed="false">
      <c r="A57" s="8"/>
      <c r="B57" s="8"/>
      <c r="C57" s="8"/>
      <c r="D57" s="8"/>
      <c r="E57" s="8"/>
      <c r="F57" s="8"/>
      <c r="G57" s="8"/>
    </row>
    <row r="58" customFormat="false" ht="15" hidden="false" customHeight="false" outlineLevel="0" collapsed="false">
      <c r="A58" s="8"/>
      <c r="B58" s="8"/>
      <c r="C58" s="8"/>
      <c r="D58" s="8"/>
      <c r="E58" s="8"/>
      <c r="F58" s="8"/>
      <c r="G58" s="8"/>
    </row>
    <row r="59" customFormat="false" ht="15" hidden="false" customHeight="false" outlineLevel="0" collapsed="false">
      <c r="A59" s="8"/>
      <c r="B59" s="8"/>
      <c r="C59" s="8"/>
      <c r="D59" s="8"/>
      <c r="E59" s="8"/>
      <c r="F59" s="8"/>
      <c r="G59" s="8"/>
    </row>
    <row r="60" customFormat="false" ht="15" hidden="false" customHeight="false" outlineLevel="0" collapsed="false">
      <c r="A60" s="8"/>
      <c r="B60" s="8"/>
      <c r="C60" s="8"/>
      <c r="D60" s="8"/>
      <c r="E60" s="8"/>
      <c r="F60" s="8"/>
      <c r="G60" s="8"/>
    </row>
    <row r="61" customFormat="false" ht="15" hidden="false" customHeight="false" outlineLevel="0" collapsed="false">
      <c r="A61" s="8"/>
      <c r="B61" s="8"/>
      <c r="C61" s="8"/>
      <c r="D61" s="8"/>
      <c r="E61" s="8"/>
      <c r="F61" s="8"/>
      <c r="G61" s="8"/>
    </row>
    <row r="62" customFormat="false" ht="15" hidden="false" customHeight="false" outlineLevel="0" collapsed="false">
      <c r="A62" s="8"/>
      <c r="B62" s="8"/>
      <c r="C62" s="8"/>
      <c r="D62" s="8"/>
      <c r="E62" s="8"/>
      <c r="F62" s="8"/>
      <c r="G62" s="8"/>
    </row>
    <row r="63" customFormat="false" ht="15" hidden="false" customHeight="false" outlineLevel="0" collapsed="false">
      <c r="A63" s="8"/>
      <c r="B63" s="8"/>
      <c r="C63" s="8"/>
      <c r="D63" s="8"/>
      <c r="E63" s="8"/>
      <c r="F63" s="8"/>
      <c r="G63" s="8"/>
    </row>
    <row r="64" customFormat="false" ht="15" hidden="false" customHeight="false" outlineLevel="0" collapsed="false">
      <c r="A64" s="8"/>
      <c r="B64" s="8"/>
      <c r="C64" s="8"/>
      <c r="D64" s="8"/>
      <c r="E64" s="8"/>
      <c r="F64" s="8"/>
      <c r="G64" s="8"/>
    </row>
    <row r="65" customFormat="false" ht="15" hidden="false" customHeight="false" outlineLevel="0" collapsed="false">
      <c r="A65" s="8"/>
      <c r="B65" s="8"/>
      <c r="C65" s="8"/>
      <c r="D65" s="8"/>
      <c r="E65" s="8"/>
      <c r="F65" s="8"/>
      <c r="G65" s="8"/>
    </row>
    <row r="66" customFormat="false" ht="15" hidden="false" customHeight="false" outlineLevel="0" collapsed="false">
      <c r="A66" s="8"/>
      <c r="B66" s="8"/>
      <c r="C66" s="8"/>
      <c r="D66" s="8"/>
      <c r="E66" s="8"/>
      <c r="F66" s="8"/>
      <c r="G66" s="8"/>
    </row>
    <row r="67" customFormat="false" ht="15" hidden="false" customHeight="false" outlineLevel="0" collapsed="false">
      <c r="A67" s="8"/>
      <c r="B67" s="8"/>
      <c r="C67" s="8"/>
      <c r="D67" s="8"/>
      <c r="E67" s="8"/>
      <c r="F67" s="8"/>
      <c r="G67" s="8"/>
    </row>
    <row r="68" customFormat="false" ht="15" hidden="false" customHeight="false" outlineLevel="0" collapsed="false">
      <c r="A68" s="8"/>
      <c r="B68" s="8"/>
      <c r="C68" s="8"/>
      <c r="D68" s="8"/>
      <c r="E68" s="8"/>
      <c r="F68" s="8"/>
      <c r="G68" s="8"/>
    </row>
    <row r="69" customFormat="false" ht="15" hidden="false" customHeight="false" outlineLevel="0" collapsed="false">
      <c r="A69" s="8"/>
      <c r="B69" s="8"/>
      <c r="C69" s="8"/>
      <c r="D69" s="8"/>
      <c r="E69" s="8"/>
      <c r="F69" s="8"/>
      <c r="G69" s="8"/>
    </row>
    <row r="70" customFormat="false" ht="15" hidden="false" customHeight="false" outlineLevel="0" collapsed="false">
      <c r="A70" s="8"/>
      <c r="B70" s="8"/>
      <c r="C70" s="8"/>
      <c r="D70" s="8"/>
      <c r="E70" s="8"/>
      <c r="F70" s="8"/>
      <c r="G70" s="8"/>
    </row>
    <row r="71" customFormat="false" ht="15" hidden="false" customHeight="false" outlineLevel="0" collapsed="false">
      <c r="A71" s="8"/>
      <c r="B71" s="8"/>
      <c r="C71" s="8"/>
      <c r="D71" s="8"/>
      <c r="E71" s="8"/>
      <c r="F71" s="8"/>
      <c r="G71" s="8"/>
    </row>
    <row r="72" customFormat="false" ht="15" hidden="false" customHeight="false" outlineLevel="0" collapsed="false">
      <c r="A72" s="8"/>
      <c r="B72" s="8"/>
      <c r="C72" s="8"/>
      <c r="D72" s="8"/>
      <c r="E72" s="8"/>
      <c r="F72" s="8"/>
      <c r="G72" s="8"/>
    </row>
    <row r="73" customFormat="false" ht="15" hidden="false" customHeight="false" outlineLevel="0" collapsed="false">
      <c r="A73" s="8"/>
      <c r="B73" s="8"/>
      <c r="C73" s="8"/>
      <c r="D73" s="8"/>
      <c r="E73" s="8"/>
      <c r="F73" s="8"/>
      <c r="G73" s="8"/>
    </row>
    <row r="74" customFormat="false" ht="15" hidden="false" customHeight="false" outlineLevel="0" collapsed="false">
      <c r="A74" s="8"/>
      <c r="B74" s="8"/>
      <c r="C74" s="8"/>
      <c r="D74" s="8"/>
      <c r="E74" s="8"/>
      <c r="F74" s="8"/>
      <c r="G74" s="8"/>
    </row>
    <row r="75" customFormat="false" ht="15" hidden="false" customHeight="false" outlineLevel="0" collapsed="false">
      <c r="A75" s="8"/>
      <c r="B75" s="8"/>
      <c r="C75" s="8"/>
      <c r="D75" s="8"/>
      <c r="E75" s="8"/>
      <c r="F75" s="8"/>
      <c r="G75" s="8"/>
    </row>
    <row r="76" customFormat="false" ht="15" hidden="false" customHeight="false" outlineLevel="0" collapsed="false">
      <c r="A76" s="8"/>
      <c r="B76" s="8"/>
      <c r="C76" s="8"/>
      <c r="D76" s="8"/>
      <c r="E76" s="8"/>
      <c r="F76" s="8"/>
      <c r="G76" s="8"/>
    </row>
    <row r="77" customFormat="false" ht="15" hidden="false" customHeight="false" outlineLevel="0" collapsed="false">
      <c r="A77" s="8"/>
      <c r="B77" s="8"/>
      <c r="C77" s="8"/>
      <c r="D77" s="8"/>
      <c r="E77" s="8"/>
      <c r="F77" s="8"/>
      <c r="G77" s="8"/>
    </row>
    <row r="78" customFormat="false" ht="15" hidden="false" customHeight="false" outlineLevel="0" collapsed="false">
      <c r="A78" s="8"/>
      <c r="B78" s="8"/>
      <c r="C78" s="8"/>
      <c r="D78" s="8"/>
      <c r="E78" s="8"/>
      <c r="F78" s="8"/>
      <c r="G78" s="8"/>
    </row>
    <row r="79" customFormat="false" ht="15" hidden="false" customHeight="false" outlineLevel="0" collapsed="false">
      <c r="A79" s="8"/>
      <c r="B79" s="8"/>
      <c r="C79" s="8"/>
      <c r="D79" s="8"/>
      <c r="E79" s="8"/>
      <c r="F79" s="8"/>
      <c r="G79" s="8"/>
    </row>
    <row r="80" customFormat="false" ht="15" hidden="false" customHeight="false" outlineLevel="0" collapsed="false">
      <c r="A80" s="8"/>
      <c r="B80" s="8"/>
      <c r="C80" s="8"/>
      <c r="D80" s="8"/>
      <c r="E80" s="8"/>
      <c r="F80" s="8"/>
      <c r="G80" s="8"/>
    </row>
    <row r="81" customFormat="false" ht="15" hidden="false" customHeight="false" outlineLevel="0" collapsed="false">
      <c r="A81" s="8"/>
      <c r="B81" s="8"/>
      <c r="C81" s="8"/>
      <c r="D81" s="8"/>
      <c r="E81" s="8"/>
      <c r="F81" s="8"/>
      <c r="G81" s="8"/>
    </row>
    <row r="82" customFormat="false" ht="15" hidden="false" customHeight="false" outlineLevel="0" collapsed="false">
      <c r="A82" s="8"/>
      <c r="B82" s="8"/>
      <c r="C82" s="8"/>
      <c r="D82" s="8"/>
      <c r="E82" s="8"/>
      <c r="F82" s="8"/>
      <c r="G82" s="8"/>
    </row>
    <row r="83" customFormat="false" ht="15" hidden="false" customHeight="false" outlineLevel="0" collapsed="false">
      <c r="A83" s="8"/>
      <c r="B83" s="8"/>
      <c r="C83" s="8"/>
      <c r="D83" s="8"/>
      <c r="E83" s="8"/>
      <c r="F83" s="8"/>
      <c r="G83" s="8"/>
    </row>
    <row r="84" customFormat="false" ht="15" hidden="false" customHeight="false" outlineLevel="0" collapsed="false">
      <c r="A84" s="8"/>
      <c r="B84" s="8"/>
      <c r="C84" s="8"/>
      <c r="D84" s="8"/>
      <c r="E84" s="8"/>
      <c r="F84" s="8"/>
      <c r="G84" s="8"/>
    </row>
    <row r="85" customFormat="false" ht="15" hidden="false" customHeight="false" outlineLevel="0" collapsed="false">
      <c r="A85" s="8"/>
      <c r="B85" s="8"/>
      <c r="C85" s="8"/>
      <c r="D85" s="8"/>
      <c r="E85" s="8"/>
      <c r="F85" s="8"/>
      <c r="G85" s="8"/>
    </row>
    <row r="86" customFormat="false" ht="15" hidden="false" customHeight="false" outlineLevel="0" collapsed="false">
      <c r="A86" s="8"/>
      <c r="B86" s="8"/>
      <c r="C86" s="8"/>
      <c r="D86" s="8"/>
      <c r="E86" s="8"/>
      <c r="F86" s="8"/>
      <c r="G86" s="8"/>
    </row>
    <row r="87" customFormat="false" ht="15" hidden="false" customHeight="false" outlineLevel="0" collapsed="false">
      <c r="A87" s="8"/>
      <c r="B87" s="8"/>
      <c r="C87" s="8"/>
      <c r="D87" s="8"/>
      <c r="E87" s="8"/>
      <c r="F87" s="8"/>
      <c r="G87" s="8"/>
    </row>
    <row r="88" customFormat="false" ht="15" hidden="false" customHeight="false" outlineLevel="0" collapsed="false">
      <c r="A88" s="8"/>
      <c r="B88" s="8"/>
      <c r="C88" s="8"/>
      <c r="D88" s="8"/>
      <c r="E88" s="8"/>
      <c r="F88" s="8"/>
      <c r="G88" s="8"/>
    </row>
    <row r="89" customFormat="false" ht="15" hidden="false" customHeight="false" outlineLevel="0" collapsed="false">
      <c r="A89" s="8"/>
      <c r="B89" s="8"/>
      <c r="C89" s="8"/>
      <c r="D89" s="8"/>
      <c r="E89" s="8"/>
      <c r="F89" s="8"/>
      <c r="G89" s="8"/>
    </row>
    <row r="90" customFormat="false" ht="15" hidden="false" customHeight="false" outlineLevel="0" collapsed="false">
      <c r="A90" s="8"/>
      <c r="B90" s="8"/>
      <c r="C90" s="8"/>
      <c r="D90" s="8"/>
      <c r="E90" s="8"/>
      <c r="F90" s="8"/>
      <c r="G90" s="8"/>
    </row>
    <row r="91" customFormat="false" ht="15" hidden="false" customHeight="false" outlineLevel="0" collapsed="false">
      <c r="A91" s="8"/>
      <c r="B91" s="8"/>
      <c r="C91" s="8"/>
      <c r="D91" s="8"/>
      <c r="E91" s="8"/>
      <c r="F91" s="8"/>
      <c r="G91" s="8"/>
    </row>
    <row r="92" customFormat="false" ht="15" hidden="false" customHeight="false" outlineLevel="0" collapsed="false">
      <c r="A92" s="8"/>
      <c r="B92" s="8"/>
      <c r="C92" s="8"/>
      <c r="D92" s="8"/>
      <c r="E92" s="8"/>
      <c r="F92" s="8"/>
      <c r="G92" s="8"/>
    </row>
    <row r="93" customFormat="false" ht="15" hidden="false" customHeight="false" outlineLevel="0" collapsed="false">
      <c r="A93" s="8"/>
      <c r="B93" s="8"/>
      <c r="C93" s="8"/>
      <c r="D93" s="8"/>
      <c r="E93" s="8"/>
      <c r="F93" s="8"/>
      <c r="G93" s="8"/>
    </row>
    <row r="94" customFormat="false" ht="15" hidden="false" customHeight="false" outlineLevel="0" collapsed="false">
      <c r="A94" s="8"/>
      <c r="B94" s="8"/>
      <c r="C94" s="8"/>
      <c r="D94" s="8"/>
      <c r="E94" s="8"/>
      <c r="F94" s="8"/>
      <c r="G94" s="8"/>
    </row>
    <row r="95" customFormat="false" ht="15" hidden="false" customHeight="false" outlineLevel="0" collapsed="false">
      <c r="A95" s="8"/>
      <c r="B95" s="8"/>
      <c r="C95" s="8"/>
      <c r="D95" s="8"/>
      <c r="E95" s="8"/>
      <c r="F95" s="8"/>
      <c r="G95" s="8"/>
    </row>
    <row r="96" customFormat="false" ht="15" hidden="false" customHeight="false" outlineLevel="0" collapsed="false">
      <c r="A96" s="8"/>
      <c r="B96" s="8"/>
      <c r="C96" s="8"/>
      <c r="D96" s="8"/>
      <c r="E96" s="8"/>
      <c r="F96" s="8"/>
      <c r="G96" s="8"/>
    </row>
    <row r="97" customFormat="false" ht="15" hidden="false" customHeight="false" outlineLevel="0" collapsed="false">
      <c r="A97" s="8"/>
      <c r="B97" s="8"/>
      <c r="C97" s="8"/>
      <c r="D97" s="8"/>
      <c r="E97" s="8"/>
      <c r="F97" s="8"/>
      <c r="G97" s="8"/>
    </row>
    <row r="98" customFormat="false" ht="15" hidden="false" customHeight="false" outlineLevel="0" collapsed="false">
      <c r="A98" s="8"/>
      <c r="B98" s="8"/>
      <c r="C98" s="8"/>
      <c r="D98" s="8"/>
      <c r="E98" s="8"/>
      <c r="F98" s="8"/>
      <c r="G98" s="8"/>
    </row>
    <row r="99" customFormat="false" ht="15" hidden="false" customHeight="false" outlineLevel="0" collapsed="false">
      <c r="A99" s="8"/>
      <c r="B99" s="8"/>
      <c r="C99" s="8"/>
      <c r="D99" s="8"/>
      <c r="E99" s="8"/>
      <c r="F99" s="8"/>
      <c r="G99" s="8"/>
    </row>
    <row r="100" customFormat="false" ht="15" hidden="false" customHeight="false" outlineLevel="0" collapsed="false">
      <c r="A100" s="8"/>
      <c r="B100" s="8"/>
      <c r="C100" s="8"/>
      <c r="D100" s="8"/>
      <c r="E100" s="8"/>
      <c r="F100" s="8"/>
      <c r="G100" s="8"/>
    </row>
    <row r="101" customFormat="false" ht="15" hidden="false" customHeight="false" outlineLevel="0" collapsed="false">
      <c r="A101" s="8"/>
      <c r="B101" s="8"/>
      <c r="C101" s="8"/>
      <c r="D101" s="8"/>
      <c r="E101" s="8"/>
      <c r="F101" s="8"/>
      <c r="G101" s="8"/>
    </row>
    <row r="102" customFormat="false" ht="15" hidden="false" customHeight="false" outlineLevel="0" collapsed="false">
      <c r="A102" s="8"/>
      <c r="B102" s="8"/>
      <c r="C102" s="8"/>
      <c r="D102" s="8"/>
      <c r="E102" s="8"/>
      <c r="F102" s="8"/>
      <c r="G102" s="8"/>
    </row>
    <row r="103" customFormat="false" ht="15" hidden="false" customHeight="false" outlineLevel="0" collapsed="false">
      <c r="A103" s="8"/>
      <c r="B103" s="8"/>
      <c r="C103" s="8"/>
      <c r="D103" s="8"/>
      <c r="E103" s="8"/>
      <c r="F103" s="8"/>
      <c r="G103" s="8"/>
    </row>
    <row r="104" customFormat="false" ht="15" hidden="false" customHeight="false" outlineLevel="0" collapsed="false">
      <c r="A104" s="8"/>
      <c r="B104" s="8"/>
      <c r="C104" s="8"/>
      <c r="D104" s="8"/>
      <c r="E104" s="8"/>
      <c r="F104" s="8"/>
      <c r="G104" s="8"/>
    </row>
    <row r="105" customFormat="false" ht="15" hidden="false" customHeight="false" outlineLevel="0" collapsed="false">
      <c r="A105" s="8"/>
      <c r="B105" s="8"/>
      <c r="C105" s="8"/>
      <c r="D105" s="8"/>
      <c r="E105" s="8"/>
      <c r="F105" s="8"/>
      <c r="G105" s="8"/>
    </row>
    <row r="106" customFormat="false" ht="15" hidden="false" customHeight="false" outlineLevel="0" collapsed="false">
      <c r="A106" s="8"/>
      <c r="B106" s="8"/>
      <c r="C106" s="8"/>
      <c r="D106" s="8"/>
      <c r="E106" s="8"/>
      <c r="F106" s="8"/>
      <c r="G106" s="8"/>
    </row>
    <row r="107" customFormat="false" ht="15" hidden="false" customHeight="false" outlineLevel="0" collapsed="false">
      <c r="A107" s="8"/>
      <c r="B107" s="8"/>
      <c r="C107" s="8"/>
      <c r="D107" s="8"/>
      <c r="E107" s="8"/>
      <c r="F107" s="8"/>
      <c r="G107" s="8"/>
    </row>
    <row r="108" customFormat="false" ht="15" hidden="false" customHeight="false" outlineLevel="0" collapsed="false">
      <c r="A108" s="8"/>
      <c r="B108" s="8"/>
      <c r="C108" s="8"/>
      <c r="D108" s="8"/>
      <c r="E108" s="8"/>
      <c r="F108" s="8"/>
      <c r="G108" s="8"/>
    </row>
    <row r="109" customFormat="false" ht="15" hidden="false" customHeight="false" outlineLevel="0" collapsed="false">
      <c r="A109" s="8"/>
      <c r="B109" s="8"/>
      <c r="C109" s="8"/>
      <c r="D109" s="8"/>
      <c r="E109" s="8"/>
      <c r="F109" s="8"/>
      <c r="G109" s="8"/>
    </row>
    <row r="110" customFormat="false" ht="15" hidden="false" customHeight="false" outlineLevel="0" collapsed="false">
      <c r="A110" s="8"/>
      <c r="B110" s="8"/>
      <c r="C110" s="8"/>
      <c r="D110" s="8"/>
      <c r="E110" s="8"/>
      <c r="F110" s="8"/>
      <c r="G110" s="8"/>
    </row>
    <row r="111" customFormat="false" ht="15" hidden="false" customHeight="false" outlineLevel="0" collapsed="false">
      <c r="A111" s="8"/>
      <c r="B111" s="8"/>
      <c r="C111" s="8"/>
      <c r="D111" s="8"/>
      <c r="E111" s="8"/>
      <c r="F111" s="8"/>
      <c r="G111" s="8"/>
    </row>
    <row r="112" customFormat="false" ht="15" hidden="false" customHeight="false" outlineLevel="0" collapsed="false">
      <c r="A112" s="8"/>
      <c r="B112" s="8"/>
      <c r="C112" s="8"/>
      <c r="D112" s="8"/>
      <c r="E112" s="8"/>
      <c r="F112" s="8"/>
      <c r="G112" s="8"/>
    </row>
    <row r="113" customFormat="false" ht="15" hidden="false" customHeight="false" outlineLevel="0" collapsed="false">
      <c r="A113" s="8"/>
      <c r="B113" s="8"/>
      <c r="C113" s="8"/>
      <c r="D113" s="8"/>
      <c r="E113" s="8"/>
      <c r="F113" s="8"/>
      <c r="G113" s="8"/>
    </row>
    <row r="114" customFormat="false" ht="15" hidden="false" customHeight="false" outlineLevel="0" collapsed="false">
      <c r="A114" s="8"/>
      <c r="B114" s="8"/>
      <c r="C114" s="8"/>
      <c r="D114" s="8"/>
      <c r="E114" s="8"/>
      <c r="F114" s="8"/>
      <c r="G114" s="8"/>
    </row>
    <row r="115" customFormat="false" ht="15" hidden="false" customHeight="false" outlineLevel="0" collapsed="false">
      <c r="A115" s="8"/>
      <c r="B115" s="8"/>
      <c r="C115" s="8"/>
      <c r="D115" s="8"/>
      <c r="E115" s="8"/>
      <c r="F115" s="8"/>
      <c r="G115" s="8"/>
    </row>
    <row r="116" customFormat="false" ht="15" hidden="false" customHeight="false" outlineLevel="0" collapsed="false">
      <c r="A116" s="8"/>
      <c r="B116" s="8"/>
      <c r="C116" s="8"/>
      <c r="D116" s="8"/>
      <c r="E116" s="8"/>
      <c r="F116" s="8"/>
      <c r="G116" s="8"/>
    </row>
    <row r="117" customFormat="false" ht="15" hidden="false" customHeight="false" outlineLevel="0" collapsed="false">
      <c r="A117" s="8"/>
      <c r="B117" s="8"/>
      <c r="C117" s="8"/>
      <c r="D117" s="8"/>
      <c r="E117" s="8"/>
      <c r="F117" s="8"/>
      <c r="G117" s="8"/>
    </row>
    <row r="118" customFormat="false" ht="15" hidden="false" customHeight="false" outlineLevel="0" collapsed="false">
      <c r="A118" s="8"/>
      <c r="B118" s="8"/>
      <c r="C118" s="8"/>
      <c r="D118" s="8"/>
      <c r="E118" s="8"/>
      <c r="F118" s="8"/>
      <c r="G118" s="8"/>
    </row>
    <row r="119" customFormat="false" ht="15" hidden="false" customHeight="false" outlineLevel="0" collapsed="false">
      <c r="A119" s="8"/>
      <c r="B119" s="8"/>
      <c r="C119" s="8"/>
      <c r="D119" s="8"/>
      <c r="E119" s="8"/>
      <c r="F119" s="8"/>
      <c r="G119" s="8"/>
    </row>
    <row r="120" customFormat="false" ht="15" hidden="false" customHeight="false" outlineLevel="0" collapsed="false">
      <c r="A120" s="8"/>
      <c r="B120" s="8"/>
      <c r="C120" s="8"/>
      <c r="D120" s="8"/>
      <c r="E120" s="8"/>
      <c r="F120" s="8"/>
      <c r="G120" s="8"/>
    </row>
    <row r="121" customFormat="false" ht="15" hidden="false" customHeight="false" outlineLevel="0" collapsed="false">
      <c r="A121" s="8"/>
      <c r="B121" s="8"/>
      <c r="C121" s="8"/>
      <c r="D121" s="8"/>
      <c r="E121" s="8"/>
      <c r="F121" s="8"/>
      <c r="G121" s="8"/>
    </row>
    <row r="122" customFormat="false" ht="15" hidden="false" customHeight="false" outlineLevel="0" collapsed="false">
      <c r="A122" s="8"/>
      <c r="B122" s="8"/>
      <c r="C122" s="8"/>
      <c r="D122" s="8"/>
      <c r="E122" s="8"/>
      <c r="F122" s="8"/>
      <c r="G122" s="8"/>
    </row>
    <row r="123" customFormat="false" ht="15" hidden="false" customHeight="false" outlineLevel="0" collapsed="false">
      <c r="A123" s="8"/>
      <c r="B123" s="8"/>
      <c r="C123" s="8"/>
      <c r="D123" s="8"/>
      <c r="E123" s="8"/>
      <c r="F123" s="8"/>
      <c r="G123" s="8"/>
    </row>
    <row r="124" customFormat="false" ht="15" hidden="false" customHeight="false" outlineLevel="0" collapsed="false">
      <c r="A124" s="8"/>
      <c r="B124" s="8"/>
      <c r="C124" s="8"/>
      <c r="D124" s="8"/>
      <c r="E124" s="8"/>
      <c r="F124" s="8"/>
      <c r="G124" s="8"/>
    </row>
    <row r="125" customFormat="false" ht="15" hidden="false" customHeight="false" outlineLevel="0" collapsed="false">
      <c r="A125" s="8"/>
      <c r="B125" s="8"/>
      <c r="C125" s="8"/>
      <c r="D125" s="8"/>
      <c r="E125" s="8"/>
      <c r="F125" s="8"/>
      <c r="G125" s="8"/>
    </row>
    <row r="126" customFormat="false" ht="15" hidden="false" customHeight="false" outlineLevel="0" collapsed="false">
      <c r="A126" s="8"/>
      <c r="B126" s="8"/>
      <c r="C126" s="8"/>
      <c r="D126" s="8"/>
      <c r="E126" s="8"/>
      <c r="F126" s="8"/>
      <c r="G126" s="8"/>
    </row>
    <row r="127" customFormat="false" ht="15" hidden="false" customHeight="false" outlineLevel="0" collapsed="false">
      <c r="A127" s="8"/>
      <c r="B127" s="8"/>
      <c r="C127" s="8"/>
      <c r="D127" s="8"/>
      <c r="E127" s="8"/>
      <c r="F127" s="8"/>
      <c r="G127" s="8"/>
    </row>
    <row r="128" customFormat="false" ht="15" hidden="false" customHeight="false" outlineLevel="0" collapsed="false">
      <c r="A128" s="8"/>
      <c r="B128" s="8"/>
      <c r="C128" s="8"/>
      <c r="D128" s="8"/>
      <c r="E128" s="8"/>
      <c r="F128" s="8"/>
      <c r="G128" s="8"/>
    </row>
    <row r="129" customFormat="false" ht="15" hidden="false" customHeight="false" outlineLevel="0" collapsed="false">
      <c r="A129" s="8"/>
      <c r="B129" s="8"/>
      <c r="C129" s="8"/>
      <c r="D129" s="8"/>
      <c r="E129" s="8"/>
      <c r="F129" s="8"/>
      <c r="G129" s="8"/>
    </row>
    <row r="130" customFormat="false" ht="15" hidden="false" customHeight="false" outlineLevel="0" collapsed="false">
      <c r="A130" s="8"/>
      <c r="B130" s="8"/>
      <c r="C130" s="8"/>
      <c r="D130" s="8"/>
      <c r="E130" s="8"/>
      <c r="F130" s="8"/>
      <c r="G130" s="8"/>
    </row>
    <row r="131" customFormat="false" ht="15" hidden="false" customHeight="false" outlineLevel="0" collapsed="false">
      <c r="A131" s="8"/>
      <c r="B131" s="8"/>
      <c r="C131" s="8"/>
      <c r="D131" s="8"/>
      <c r="E131" s="8"/>
      <c r="F131" s="8"/>
      <c r="G131" s="8"/>
    </row>
    <row r="132" customFormat="false" ht="15" hidden="false" customHeight="false" outlineLevel="0" collapsed="false">
      <c r="A132" s="8"/>
      <c r="B132" s="8"/>
      <c r="C132" s="8"/>
      <c r="D132" s="8"/>
      <c r="E132" s="8"/>
      <c r="F132" s="8"/>
      <c r="G132" s="8"/>
    </row>
    <row r="133" customFormat="false" ht="15" hidden="false" customHeight="false" outlineLevel="0" collapsed="false">
      <c r="A133" s="8"/>
      <c r="B133" s="8"/>
      <c r="C133" s="8"/>
      <c r="D133" s="8"/>
      <c r="E133" s="8"/>
      <c r="F133" s="8"/>
      <c r="G133" s="8"/>
    </row>
    <row r="134" customFormat="false" ht="15" hidden="false" customHeight="false" outlineLevel="0" collapsed="false">
      <c r="A134" s="8"/>
      <c r="B134" s="8"/>
      <c r="C134" s="8"/>
      <c r="D134" s="8"/>
      <c r="E134" s="8"/>
      <c r="F134" s="8"/>
      <c r="G134" s="8"/>
    </row>
    <row r="135" customFormat="false" ht="15" hidden="false" customHeight="false" outlineLevel="0" collapsed="false">
      <c r="A135" s="8"/>
      <c r="B135" s="8"/>
      <c r="C135" s="8"/>
      <c r="D135" s="8"/>
      <c r="E135" s="8"/>
      <c r="F135" s="8"/>
      <c r="G135" s="8"/>
    </row>
    <row r="136" customFormat="false" ht="15" hidden="false" customHeight="false" outlineLevel="0" collapsed="false">
      <c r="A136" s="8"/>
      <c r="B136" s="8"/>
      <c r="C136" s="8"/>
      <c r="D136" s="8"/>
      <c r="E136" s="8"/>
      <c r="F136" s="8"/>
      <c r="G136" s="8"/>
    </row>
    <row r="137" customFormat="false" ht="15" hidden="false" customHeight="false" outlineLevel="0" collapsed="false">
      <c r="A137" s="8"/>
      <c r="B137" s="8"/>
      <c r="C137" s="8"/>
      <c r="D137" s="8"/>
      <c r="E137" s="8"/>
      <c r="F137" s="8"/>
      <c r="G137" s="8"/>
    </row>
    <row r="138" customFormat="false" ht="15" hidden="false" customHeight="false" outlineLevel="0" collapsed="false">
      <c r="A138" s="8"/>
      <c r="B138" s="8"/>
      <c r="C138" s="8"/>
      <c r="D138" s="8"/>
      <c r="E138" s="8"/>
      <c r="F138" s="8"/>
      <c r="G138" s="8"/>
    </row>
    <row r="139" customFormat="false" ht="15" hidden="false" customHeight="false" outlineLevel="0" collapsed="false">
      <c r="A139" s="8"/>
      <c r="B139" s="8"/>
      <c r="C139" s="8"/>
      <c r="D139" s="8"/>
      <c r="E139" s="8"/>
      <c r="F139" s="8"/>
      <c r="G139" s="8"/>
    </row>
    <row r="140" customFormat="false" ht="15" hidden="false" customHeight="false" outlineLevel="0" collapsed="false">
      <c r="A140" s="8"/>
      <c r="B140" s="8"/>
      <c r="C140" s="8"/>
      <c r="D140" s="8"/>
      <c r="E140" s="8"/>
      <c r="F140" s="8"/>
      <c r="G140" s="8"/>
    </row>
    <row r="141" customFormat="false" ht="15" hidden="false" customHeight="false" outlineLevel="0" collapsed="false">
      <c r="A141" s="8"/>
      <c r="B141" s="8"/>
      <c r="C141" s="8"/>
      <c r="D141" s="8"/>
      <c r="E141" s="8"/>
      <c r="F141" s="8"/>
      <c r="G141" s="8"/>
    </row>
    <row r="142" customFormat="false" ht="15" hidden="false" customHeight="false" outlineLevel="0" collapsed="false">
      <c r="A142" s="8"/>
      <c r="B142" s="8"/>
      <c r="C142" s="8"/>
      <c r="D142" s="8"/>
      <c r="E142" s="8"/>
      <c r="F142" s="8"/>
      <c r="G142" s="8"/>
    </row>
    <row r="143" customFormat="false" ht="15" hidden="false" customHeight="false" outlineLevel="0" collapsed="false">
      <c r="A143" s="8"/>
      <c r="B143" s="8"/>
      <c r="C143" s="8"/>
      <c r="D143" s="8"/>
      <c r="E143" s="8"/>
      <c r="F143" s="8"/>
      <c r="G143" s="8"/>
    </row>
    <row r="144" customFormat="false" ht="15" hidden="false" customHeight="false" outlineLevel="0" collapsed="false">
      <c r="A144" s="8"/>
      <c r="B144" s="8"/>
      <c r="C144" s="8"/>
      <c r="D144" s="8"/>
      <c r="E144" s="8"/>
      <c r="F144" s="8"/>
      <c r="G144" s="8"/>
    </row>
    <row r="145" customFormat="false" ht="15" hidden="false" customHeight="false" outlineLevel="0" collapsed="false">
      <c r="A145" s="8"/>
      <c r="B145" s="8"/>
      <c r="C145" s="8"/>
      <c r="D145" s="8"/>
      <c r="E145" s="8"/>
      <c r="F145" s="8"/>
      <c r="G145" s="8"/>
    </row>
    <row r="146" customFormat="false" ht="15" hidden="false" customHeight="false" outlineLevel="0" collapsed="false">
      <c r="A146" s="8"/>
      <c r="B146" s="8"/>
      <c r="C146" s="8"/>
      <c r="D146" s="8"/>
      <c r="E146" s="8"/>
      <c r="F146" s="8"/>
      <c r="G146" s="8"/>
    </row>
    <row r="147" customFormat="false" ht="15" hidden="false" customHeight="false" outlineLevel="0" collapsed="false">
      <c r="A147" s="8"/>
      <c r="B147" s="8"/>
      <c r="C147" s="8"/>
      <c r="D147" s="8"/>
      <c r="E147" s="8"/>
      <c r="F147" s="8"/>
      <c r="G147" s="8"/>
    </row>
    <row r="148" customFormat="false" ht="15" hidden="false" customHeight="false" outlineLevel="0" collapsed="false">
      <c r="A148" s="8"/>
      <c r="B148" s="8"/>
      <c r="C148" s="8"/>
      <c r="D148" s="8"/>
      <c r="E148" s="8"/>
      <c r="F148" s="8"/>
      <c r="G148" s="8"/>
    </row>
    <row r="149" customFormat="false" ht="15" hidden="false" customHeight="false" outlineLevel="0" collapsed="false">
      <c r="A149" s="8"/>
      <c r="B149" s="8"/>
      <c r="C149" s="8"/>
      <c r="D149" s="8"/>
      <c r="E149" s="8"/>
      <c r="F149" s="8"/>
      <c r="G149" s="8"/>
    </row>
    <row r="150" customFormat="false" ht="15" hidden="false" customHeight="false" outlineLevel="0" collapsed="false">
      <c r="A150" s="8"/>
      <c r="B150" s="8"/>
      <c r="C150" s="8"/>
      <c r="D150" s="8"/>
      <c r="E150" s="8"/>
      <c r="F150" s="8"/>
      <c r="G150" s="8"/>
    </row>
    <row r="151" customFormat="false" ht="15" hidden="false" customHeight="false" outlineLevel="0" collapsed="false">
      <c r="A151" s="8"/>
      <c r="B151" s="8"/>
      <c r="C151" s="8"/>
      <c r="D151" s="8"/>
      <c r="E151" s="8"/>
      <c r="F151" s="8"/>
      <c r="G151" s="8"/>
    </row>
    <row r="152" customFormat="false" ht="15" hidden="false" customHeight="false" outlineLevel="0" collapsed="false">
      <c r="A152" s="8"/>
      <c r="B152" s="8"/>
      <c r="C152" s="8"/>
      <c r="D152" s="8"/>
      <c r="E152" s="8"/>
      <c r="F152" s="8"/>
      <c r="G152" s="8"/>
    </row>
    <row r="153" customFormat="false" ht="15" hidden="false" customHeight="false" outlineLevel="0" collapsed="false">
      <c r="A153" s="8"/>
      <c r="B153" s="8"/>
      <c r="C153" s="8"/>
      <c r="D153" s="8"/>
      <c r="E153" s="8"/>
      <c r="F153" s="8"/>
      <c r="G153" s="8"/>
    </row>
    <row r="154" customFormat="false" ht="15" hidden="false" customHeight="false" outlineLevel="0" collapsed="false">
      <c r="A154" s="8"/>
      <c r="B154" s="8"/>
      <c r="C154" s="8"/>
      <c r="D154" s="8"/>
      <c r="E154" s="8"/>
      <c r="F154" s="8"/>
      <c r="G154" s="8"/>
    </row>
    <row r="155" customFormat="false" ht="15" hidden="false" customHeight="false" outlineLevel="0" collapsed="false">
      <c r="A155" s="8"/>
      <c r="B155" s="8"/>
      <c r="C155" s="8"/>
      <c r="D155" s="8"/>
      <c r="E155" s="8"/>
      <c r="F155" s="8"/>
      <c r="G155" s="8"/>
    </row>
    <row r="156" customFormat="false" ht="15" hidden="false" customHeight="false" outlineLevel="0" collapsed="false">
      <c r="A156" s="8"/>
      <c r="B156" s="8"/>
      <c r="C156" s="8"/>
      <c r="D156" s="8"/>
      <c r="E156" s="8"/>
      <c r="F156" s="8"/>
      <c r="G156" s="8"/>
    </row>
    <row r="157" customFormat="false" ht="15" hidden="false" customHeight="false" outlineLevel="0" collapsed="false">
      <c r="A157" s="8"/>
      <c r="B157" s="8"/>
      <c r="C157" s="8"/>
      <c r="D157" s="8"/>
      <c r="E157" s="8"/>
      <c r="F157" s="8"/>
      <c r="G157" s="8"/>
    </row>
    <row r="158" customFormat="false" ht="15" hidden="false" customHeight="false" outlineLevel="0" collapsed="false">
      <c r="A158" s="8"/>
      <c r="B158" s="8"/>
      <c r="C158" s="8"/>
      <c r="D158" s="8"/>
      <c r="E158" s="8"/>
      <c r="F158" s="8"/>
      <c r="G158" s="8"/>
    </row>
    <row r="159" customFormat="false" ht="15" hidden="false" customHeight="false" outlineLevel="0" collapsed="false">
      <c r="A159" s="8"/>
      <c r="B159" s="8"/>
      <c r="C159" s="8"/>
      <c r="D159" s="8"/>
      <c r="E159" s="8"/>
      <c r="F159" s="8"/>
      <c r="G159" s="8"/>
    </row>
    <row r="160" customFormat="false" ht="15" hidden="false" customHeight="false" outlineLevel="0" collapsed="false">
      <c r="A160" s="8"/>
      <c r="B160" s="8"/>
      <c r="C160" s="8"/>
      <c r="D160" s="8"/>
      <c r="E160" s="8"/>
      <c r="F160" s="8"/>
      <c r="G160" s="8"/>
    </row>
    <row r="161" customFormat="false" ht="15" hidden="false" customHeight="false" outlineLevel="0" collapsed="false">
      <c r="A161" s="8"/>
      <c r="B161" s="8"/>
      <c r="C161" s="8"/>
      <c r="D161" s="8"/>
      <c r="E161" s="8"/>
      <c r="F161" s="8"/>
      <c r="G161" s="8"/>
    </row>
    <row r="162" customFormat="false" ht="15" hidden="false" customHeight="false" outlineLevel="0" collapsed="false">
      <c r="A162" s="8"/>
      <c r="B162" s="8"/>
      <c r="C162" s="8"/>
      <c r="D162" s="8"/>
      <c r="E162" s="8"/>
      <c r="F162" s="8"/>
      <c r="G162" s="8"/>
    </row>
    <row r="163" customFormat="false" ht="15" hidden="false" customHeight="false" outlineLevel="0" collapsed="false">
      <c r="A163" s="8"/>
      <c r="B163" s="8"/>
      <c r="C163" s="8"/>
      <c r="D163" s="8"/>
      <c r="E163" s="8"/>
      <c r="F163" s="8"/>
      <c r="G163" s="8"/>
    </row>
    <row r="164" customFormat="false" ht="15" hidden="false" customHeight="false" outlineLevel="0" collapsed="false">
      <c r="A164" s="8"/>
      <c r="B164" s="8"/>
      <c r="C164" s="8"/>
      <c r="D164" s="8"/>
      <c r="E164" s="8"/>
      <c r="F164" s="8"/>
      <c r="G164" s="8"/>
    </row>
    <row r="165" customFormat="false" ht="15" hidden="false" customHeight="false" outlineLevel="0" collapsed="false">
      <c r="A165" s="8"/>
      <c r="B165" s="8"/>
      <c r="C165" s="8"/>
      <c r="D165" s="8"/>
      <c r="E165" s="8"/>
      <c r="F165" s="8"/>
      <c r="G165" s="8"/>
    </row>
    <row r="166" customFormat="false" ht="15" hidden="false" customHeight="false" outlineLevel="0" collapsed="false">
      <c r="A166" s="8"/>
      <c r="B166" s="8"/>
      <c r="C166" s="8"/>
      <c r="D166" s="8"/>
      <c r="E166" s="8"/>
      <c r="F166" s="8"/>
      <c r="G166" s="8"/>
    </row>
    <row r="167" customFormat="false" ht="15" hidden="false" customHeight="false" outlineLevel="0" collapsed="false">
      <c r="A167" s="8"/>
      <c r="B167" s="8"/>
      <c r="C167" s="8"/>
      <c r="D167" s="8"/>
      <c r="E167" s="8"/>
      <c r="F167" s="8"/>
      <c r="G167" s="8"/>
    </row>
    <row r="168" customFormat="false" ht="15" hidden="false" customHeight="false" outlineLevel="0" collapsed="false">
      <c r="A168" s="8"/>
      <c r="B168" s="8"/>
      <c r="C168" s="8"/>
      <c r="D168" s="8"/>
      <c r="E168" s="8"/>
      <c r="F168" s="8"/>
      <c r="G168" s="8"/>
    </row>
    <row r="169" customFormat="false" ht="15" hidden="false" customHeight="false" outlineLevel="0" collapsed="false">
      <c r="A169" s="8"/>
      <c r="B169" s="8"/>
      <c r="C169" s="8"/>
      <c r="D169" s="8"/>
      <c r="E169" s="8"/>
      <c r="F169" s="8"/>
      <c r="G169" s="8"/>
    </row>
    <row r="170" customFormat="false" ht="15" hidden="false" customHeight="false" outlineLevel="0" collapsed="false">
      <c r="A170" s="8"/>
      <c r="B170" s="8"/>
      <c r="C170" s="8"/>
      <c r="D170" s="8"/>
      <c r="E170" s="8"/>
      <c r="F170" s="8"/>
      <c r="G170" s="8"/>
    </row>
    <row r="171" customFormat="false" ht="15" hidden="false" customHeight="false" outlineLevel="0" collapsed="false">
      <c r="A171" s="8"/>
      <c r="B171" s="8"/>
      <c r="C171" s="8"/>
      <c r="D171" s="8"/>
      <c r="E171" s="8"/>
      <c r="F171" s="8"/>
      <c r="G171" s="8"/>
    </row>
    <row r="172" customFormat="false" ht="15" hidden="false" customHeight="false" outlineLevel="0" collapsed="false">
      <c r="A172" s="8"/>
      <c r="B172" s="8"/>
      <c r="C172" s="8"/>
      <c r="D172" s="8"/>
      <c r="E172" s="8"/>
      <c r="F172" s="8"/>
      <c r="G172" s="8"/>
    </row>
    <row r="173" customFormat="false" ht="15" hidden="false" customHeight="false" outlineLevel="0" collapsed="false">
      <c r="A173" s="8"/>
      <c r="B173" s="8"/>
      <c r="C173" s="8"/>
      <c r="D173" s="8"/>
      <c r="E173" s="8"/>
      <c r="F173" s="8"/>
      <c r="G173" s="8"/>
    </row>
    <row r="174" customFormat="false" ht="15" hidden="false" customHeight="false" outlineLevel="0" collapsed="false">
      <c r="A174" s="8"/>
      <c r="B174" s="8"/>
      <c r="C174" s="8"/>
      <c r="D174" s="8"/>
      <c r="E174" s="8"/>
      <c r="F174" s="8"/>
      <c r="G174" s="8"/>
    </row>
    <row r="175" customFormat="false" ht="15" hidden="false" customHeight="false" outlineLevel="0" collapsed="false">
      <c r="A175" s="8"/>
      <c r="B175" s="8"/>
      <c r="C175" s="8"/>
      <c r="D175" s="8"/>
      <c r="E175" s="8"/>
      <c r="F175" s="8"/>
      <c r="G175" s="8"/>
    </row>
    <row r="176" customFormat="false" ht="15" hidden="false" customHeight="false" outlineLevel="0" collapsed="false">
      <c r="A176" s="8"/>
      <c r="B176" s="8"/>
      <c r="C176" s="8"/>
      <c r="D176" s="8"/>
      <c r="E176" s="8"/>
      <c r="F176" s="8"/>
      <c r="G176" s="8"/>
    </row>
    <row r="177" customFormat="false" ht="15" hidden="false" customHeight="false" outlineLevel="0" collapsed="false">
      <c r="A177" s="8"/>
      <c r="B177" s="8"/>
      <c r="C177" s="8"/>
      <c r="D177" s="8"/>
      <c r="E177" s="8"/>
      <c r="F177" s="8"/>
      <c r="G177" s="8"/>
    </row>
    <row r="178" customFormat="false" ht="15" hidden="false" customHeight="false" outlineLevel="0" collapsed="false">
      <c r="A178" s="8"/>
      <c r="B178" s="8"/>
      <c r="C178" s="8"/>
      <c r="D178" s="8"/>
      <c r="E178" s="8"/>
      <c r="F178" s="8"/>
      <c r="G178" s="8"/>
    </row>
    <row r="179" customFormat="false" ht="15" hidden="false" customHeight="false" outlineLevel="0" collapsed="false">
      <c r="A179" s="8"/>
      <c r="B179" s="8"/>
      <c r="C179" s="8"/>
      <c r="D179" s="8"/>
      <c r="E179" s="8"/>
      <c r="F179" s="8"/>
      <c r="G179" s="8"/>
    </row>
    <row r="180" customFormat="false" ht="15" hidden="false" customHeight="false" outlineLevel="0" collapsed="false">
      <c r="A180" s="8"/>
      <c r="B180" s="8"/>
      <c r="C180" s="8"/>
      <c r="D180" s="8"/>
      <c r="E180" s="8"/>
      <c r="F180" s="8"/>
      <c r="G180" s="8"/>
    </row>
    <row r="181" customFormat="false" ht="15" hidden="false" customHeight="false" outlineLevel="0" collapsed="false">
      <c r="A181" s="8"/>
      <c r="B181" s="8"/>
      <c r="C181" s="8"/>
      <c r="D181" s="8"/>
      <c r="E181" s="8"/>
      <c r="F181" s="8"/>
      <c r="G181" s="8"/>
    </row>
    <row r="182" customFormat="false" ht="15" hidden="false" customHeight="false" outlineLevel="0" collapsed="false">
      <c r="A182" s="8"/>
      <c r="B182" s="8"/>
      <c r="C182" s="8"/>
      <c r="D182" s="8"/>
      <c r="E182" s="8"/>
      <c r="F182" s="8"/>
      <c r="G182" s="8"/>
    </row>
    <row r="183" customFormat="false" ht="15" hidden="false" customHeight="false" outlineLevel="0" collapsed="false">
      <c r="A183" s="8"/>
      <c r="B183" s="8"/>
      <c r="C183" s="8"/>
      <c r="D183" s="8"/>
      <c r="E183" s="8"/>
      <c r="F183" s="8"/>
      <c r="G183" s="8"/>
    </row>
    <row r="184" customFormat="false" ht="15" hidden="false" customHeight="false" outlineLevel="0" collapsed="false">
      <c r="A184" s="8"/>
      <c r="B184" s="8"/>
      <c r="C184" s="8"/>
      <c r="D184" s="8"/>
      <c r="E184" s="8"/>
      <c r="F184" s="8"/>
      <c r="G184" s="8"/>
    </row>
    <row r="185" customFormat="false" ht="15" hidden="false" customHeight="false" outlineLevel="0" collapsed="false">
      <c r="A185" s="8"/>
      <c r="B185" s="8"/>
      <c r="C185" s="8"/>
      <c r="D185" s="8"/>
      <c r="E185" s="8"/>
      <c r="F185" s="8"/>
      <c r="G185" s="8"/>
    </row>
    <row r="186" customFormat="false" ht="15" hidden="false" customHeight="false" outlineLevel="0" collapsed="false">
      <c r="A186" s="8"/>
      <c r="B186" s="8"/>
      <c r="C186" s="8"/>
      <c r="D186" s="8"/>
      <c r="E186" s="8"/>
      <c r="F186" s="8"/>
      <c r="G186" s="8"/>
    </row>
    <row r="187" customFormat="false" ht="15" hidden="false" customHeight="false" outlineLevel="0" collapsed="false">
      <c r="A187" s="8"/>
      <c r="B187" s="8"/>
      <c r="C187" s="8"/>
      <c r="D187" s="8"/>
      <c r="E187" s="8"/>
      <c r="F187" s="8"/>
      <c r="G187" s="8"/>
    </row>
    <row r="188" customFormat="false" ht="15" hidden="false" customHeight="false" outlineLevel="0" collapsed="false">
      <c r="A188" s="8"/>
      <c r="B188" s="8"/>
      <c r="C188" s="8"/>
      <c r="D188" s="8"/>
      <c r="E188" s="8"/>
      <c r="F188" s="8"/>
      <c r="G188" s="8"/>
    </row>
    <row r="189" customFormat="false" ht="15" hidden="false" customHeight="false" outlineLevel="0" collapsed="false">
      <c r="A189" s="8"/>
      <c r="B189" s="8"/>
      <c r="C189" s="8"/>
      <c r="D189" s="8"/>
      <c r="E189" s="8"/>
      <c r="F189" s="8"/>
      <c r="G189" s="8"/>
    </row>
    <row r="190" customFormat="false" ht="15" hidden="false" customHeight="false" outlineLevel="0" collapsed="false">
      <c r="A190" s="8"/>
      <c r="B190" s="8"/>
      <c r="C190" s="8"/>
      <c r="D190" s="8"/>
      <c r="E190" s="8"/>
      <c r="F190" s="8"/>
      <c r="G190" s="8"/>
    </row>
    <row r="191" customFormat="false" ht="15" hidden="false" customHeight="false" outlineLevel="0" collapsed="false">
      <c r="A191" s="8"/>
      <c r="B191" s="8"/>
      <c r="C191" s="8"/>
      <c r="D191" s="8"/>
      <c r="E191" s="8"/>
      <c r="F191" s="8"/>
      <c r="G191" s="8"/>
    </row>
    <row r="192" customFormat="false" ht="15" hidden="false" customHeight="false" outlineLevel="0" collapsed="false">
      <c r="A192" s="8"/>
      <c r="B192" s="8"/>
      <c r="C192" s="8"/>
      <c r="D192" s="8"/>
      <c r="E192" s="8"/>
      <c r="F192" s="8"/>
      <c r="G192" s="8"/>
    </row>
    <row r="193" customFormat="false" ht="15" hidden="false" customHeight="false" outlineLevel="0" collapsed="false">
      <c r="A193" s="8"/>
      <c r="B193" s="8"/>
      <c r="C193" s="8"/>
      <c r="D193" s="8"/>
      <c r="E193" s="8"/>
      <c r="F193" s="8"/>
      <c r="G193" s="8"/>
    </row>
    <row r="194" customFormat="false" ht="15" hidden="false" customHeight="false" outlineLevel="0" collapsed="false">
      <c r="A194" s="8"/>
      <c r="B194" s="8"/>
      <c r="C194" s="8"/>
      <c r="D194" s="8"/>
      <c r="E194" s="8"/>
      <c r="F194" s="8"/>
      <c r="G194" s="8"/>
    </row>
    <row r="195" customFormat="false" ht="15" hidden="false" customHeight="false" outlineLevel="0" collapsed="false">
      <c r="A195" s="8"/>
      <c r="B195" s="8"/>
      <c r="C195" s="8"/>
      <c r="D195" s="8"/>
      <c r="E195" s="8"/>
      <c r="F195" s="8"/>
      <c r="G195" s="8"/>
    </row>
    <row r="196" customFormat="false" ht="15" hidden="false" customHeight="false" outlineLevel="0" collapsed="false">
      <c r="A196" s="8"/>
      <c r="B196" s="8"/>
      <c r="C196" s="8"/>
      <c r="D196" s="8"/>
      <c r="E196" s="8"/>
      <c r="F196" s="8"/>
      <c r="G196" s="8"/>
    </row>
    <row r="197" customFormat="false" ht="15" hidden="false" customHeight="false" outlineLevel="0" collapsed="false">
      <c r="A197" s="8"/>
      <c r="B197" s="8"/>
      <c r="C197" s="8"/>
      <c r="D197" s="8"/>
      <c r="E197" s="8"/>
      <c r="F197" s="8"/>
      <c r="G197" s="8"/>
    </row>
    <row r="198" customFormat="false" ht="15" hidden="false" customHeight="false" outlineLevel="0" collapsed="false">
      <c r="A198" s="8"/>
      <c r="B198" s="8"/>
      <c r="C198" s="8"/>
      <c r="D198" s="8"/>
      <c r="E198" s="8"/>
      <c r="F198" s="8"/>
      <c r="G198" s="8"/>
    </row>
    <row r="199" customFormat="false" ht="15" hidden="false" customHeight="false" outlineLevel="0" collapsed="false">
      <c r="A199" s="8"/>
      <c r="B199" s="8"/>
      <c r="C199" s="8"/>
      <c r="D199" s="8"/>
      <c r="E199" s="8"/>
      <c r="F199" s="8"/>
      <c r="G199" s="8"/>
    </row>
    <row r="200" customFormat="false" ht="15" hidden="false" customHeight="false" outlineLevel="0" collapsed="false">
      <c r="A200" s="8"/>
      <c r="B200" s="8"/>
      <c r="C200" s="8"/>
      <c r="D200" s="8"/>
      <c r="E200" s="8"/>
      <c r="F200" s="8"/>
      <c r="G200" s="8"/>
    </row>
    <row r="201" customFormat="false" ht="15" hidden="false" customHeight="false" outlineLevel="0" collapsed="false">
      <c r="A201" s="8"/>
      <c r="B201" s="8"/>
      <c r="C201" s="8"/>
      <c r="D201" s="8"/>
      <c r="E201" s="8"/>
      <c r="F201" s="8"/>
      <c r="G201" s="8"/>
    </row>
    <row r="202" customFormat="false" ht="15" hidden="false" customHeight="false" outlineLevel="0" collapsed="false">
      <c r="A202" s="8"/>
      <c r="B202" s="8"/>
      <c r="C202" s="8"/>
      <c r="D202" s="8"/>
      <c r="E202" s="8"/>
      <c r="F202" s="8"/>
      <c r="G202" s="8"/>
    </row>
    <row r="203" customFormat="false" ht="15" hidden="false" customHeight="false" outlineLevel="0" collapsed="false">
      <c r="A203" s="8"/>
      <c r="B203" s="8"/>
      <c r="C203" s="8"/>
      <c r="D203" s="8"/>
      <c r="E203" s="8"/>
      <c r="F203" s="8"/>
      <c r="G203" s="8"/>
    </row>
    <row r="204" customFormat="false" ht="15" hidden="false" customHeight="false" outlineLevel="0" collapsed="false">
      <c r="A204" s="8"/>
      <c r="B204" s="8"/>
      <c r="C204" s="8"/>
      <c r="D204" s="8"/>
      <c r="E204" s="8"/>
      <c r="F204" s="8"/>
      <c r="G204" s="8"/>
    </row>
    <row r="205" customFormat="false" ht="15" hidden="false" customHeight="false" outlineLevel="0" collapsed="false">
      <c r="A205" s="8"/>
      <c r="B205" s="8"/>
      <c r="C205" s="8"/>
      <c r="D205" s="8"/>
      <c r="E205" s="8"/>
      <c r="F205" s="8"/>
      <c r="G205" s="8"/>
    </row>
  </sheetData>
  <dataValidations count="4">
    <dataValidation allowBlank="true" errorStyle="stop" operator="between" showDropDown="false" showErrorMessage="false" showInputMessage="false" sqref="B6:B205" type="list">
      <formula1>"A-C,D,weekend invite"</formula1>
      <formula2>0</formula2>
    </dataValidation>
    <dataValidation allowBlank="true" errorStyle="stop" operator="between" showDropDown="false" showErrorMessage="false" showInputMessage="false" sqref="D6:D205" type="list">
      <formula1>"Facebook,Reddit,Meetup,WhatsApp,other"</formula1>
      <formula2>0</formula2>
    </dataValidation>
    <dataValidation allowBlank="true" errorStyle="stop" operator="between" showDropDown="false" showErrorMessage="false" showInputMessage="false" sqref="F6:F205" type="whole">
      <formula1>0</formula1>
      <formula2>600</formula2>
    </dataValidation>
    <dataValidation allowBlank="true" errorStyle="stop" operator="between" showDropDown="false" showErrorMessage="false" showInputMessage="false" sqref="G6:G205" type="whole">
      <formula1>0</formula1>
      <formula2>1000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6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5" t="s">
        <v>198</v>
      </c>
    </row>
    <row r="2" customFormat="false" ht="15" hidden="false" customHeight="false" outlineLevel="0" collapsed="false">
      <c r="A2" s="6" t="s">
        <v>199</v>
      </c>
    </row>
    <row r="4" customFormat="false" ht="15" hidden="false" customHeight="false" outlineLevel="0" collapsed="false">
      <c r="A4" s="9" t="s">
        <v>200</v>
      </c>
      <c r="B4" s="9" t="s">
        <v>201</v>
      </c>
      <c r="C4" s="9" t="s">
        <v>202</v>
      </c>
      <c r="D4" s="9" t="s">
        <v>203</v>
      </c>
    </row>
    <row r="5" customFormat="false" ht="15" hidden="false" customHeight="false" outlineLevel="0" collapsed="false">
      <c r="A5" s="7" t="s">
        <v>204</v>
      </c>
      <c r="B5" s="25"/>
      <c r="C5" s="25"/>
      <c r="D5" s="11" t="n">
        <f aca="false">B5+C5</f>
        <v>0</v>
      </c>
    </row>
    <row r="6" customFormat="false" ht="15" hidden="false" customHeight="false" outlineLevel="0" collapsed="false">
      <c r="A6" s="7" t="s">
        <v>205</v>
      </c>
      <c r="B6" s="25"/>
      <c r="C6" s="25"/>
      <c r="D6" s="11" t="n">
        <f aca="false">B6+C6</f>
        <v>0</v>
      </c>
    </row>
    <row r="7" customFormat="false" ht="15" hidden="false" customHeight="false" outlineLevel="0" collapsed="false">
      <c r="A7" s="7" t="s">
        <v>206</v>
      </c>
      <c r="B7" s="25"/>
      <c r="C7" s="25"/>
      <c r="D7" s="11" t="n">
        <f aca="false">B7+C7</f>
        <v>0</v>
      </c>
    </row>
    <row r="8" customFormat="false" ht="15" hidden="false" customHeight="false" outlineLevel="0" collapsed="false">
      <c r="A8" s="7" t="s">
        <v>207</v>
      </c>
      <c r="B8" s="25"/>
      <c r="C8" s="25"/>
      <c r="D8" s="11" t="n">
        <f aca="false">B8+C8</f>
        <v>0</v>
      </c>
    </row>
    <row r="9" customFormat="false" ht="15" hidden="false" customHeight="false" outlineLevel="0" collapsed="false">
      <c r="A9" s="7" t="s">
        <v>208</v>
      </c>
      <c r="B9" s="25"/>
      <c r="C9" s="25"/>
      <c r="D9" s="11" t="n">
        <f aca="false">B9+C9</f>
        <v>0</v>
      </c>
    </row>
    <row r="10" customFormat="false" ht="15" hidden="false" customHeight="false" outlineLevel="0" collapsed="false">
      <c r="A10" s="7" t="s">
        <v>209</v>
      </c>
      <c r="B10" s="11" t="n">
        <f aca="false">SUM(B6:B8)</f>
        <v>0</v>
      </c>
      <c r="C10" s="11" t="n">
        <f aca="false">SUM(C6:C8)</f>
        <v>0</v>
      </c>
      <c r="D10" s="11" t="n">
        <f aca="false">SUM(D6:D8)</f>
        <v>0</v>
      </c>
    </row>
    <row r="11" customFormat="false" ht="15" hidden="false" customHeight="false" outlineLevel="0" collapsed="false">
      <c r="A11" s="7" t="s">
        <v>210</v>
      </c>
      <c r="B11" s="11" t="n">
        <f aca="false">B10-B9</f>
        <v>0</v>
      </c>
      <c r="C11" s="11" t="n">
        <f aca="false">C10-C9</f>
        <v>0</v>
      </c>
      <c r="D11" s="11" t="n">
        <f aca="false">D10-D9</f>
        <v>0</v>
      </c>
    </row>
    <row r="12" customFormat="false" ht="15" hidden="false" customHeight="false" outlineLevel="0" collapsed="false">
      <c r="A12" s="7" t="s">
        <v>65</v>
      </c>
      <c r="B12" s="12" t="str">
        <f aca="false">IF(B5&gt;0,B11/B5,"no data")</f>
        <v>no data</v>
      </c>
      <c r="C12" s="12" t="str">
        <f aca="false">IF(C5&gt;0,C11/C5,"no data")</f>
        <v>no data</v>
      </c>
      <c r="D12" s="12" t="str">
        <f aca="false">IF(D5&gt;0,D11/D5,"no data")</f>
        <v>no data</v>
      </c>
    </row>
    <row r="13" customFormat="false" ht="15" hidden="false" customHeight="false" outlineLevel="0" collapsed="false">
      <c r="A13" s="7" t="s">
        <v>67</v>
      </c>
      <c r="B13" s="12" t="str">
        <f aca="false">IF(B10&gt;0,(B7+B8)/B10,"no data")</f>
        <v>no data</v>
      </c>
      <c r="C13" s="12" t="str">
        <f aca="false">IF(C10&gt;0,(C7+C8)/C10,"no data")</f>
        <v>no data</v>
      </c>
      <c r="D13" s="12" t="str">
        <f aca="false">IF(D10&gt;0,(D7+D8)/D10,"no data")</f>
        <v>no data</v>
      </c>
    </row>
    <row r="14" customFormat="false" ht="15" hidden="false" customHeight="false" outlineLevel="0" collapsed="false">
      <c r="A14" s="7" t="s">
        <v>211</v>
      </c>
      <c r="B14" s="12" t="str">
        <f aca="false">IF((B7+B8)&gt;0,B8/(B7+B8),"no data")</f>
        <v>no data</v>
      </c>
      <c r="C14" s="12" t="str">
        <f aca="false">IF((C7+C8)&gt;0,C8/(C7+C8),"no data")</f>
        <v>no data</v>
      </c>
      <c r="D14" s="12" t="str">
        <f aca="false">IF((D7+D8)&gt;0,D8/(D7+D8),"no data")</f>
        <v>no data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2026-09-26T14:18:17Z</dcterms:created>
  <dc:creator>openpyxl</dc:creator>
  <dc:description/>
  <dc:language>en-US</dc:language>
  <cp:lastModifiedBy/>
  <dcterms:modified xsi:type="dcterms:W3CDTF">2026-09-26T14:18:17Z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