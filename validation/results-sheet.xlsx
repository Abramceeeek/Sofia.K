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Participants" sheetId="3" state="visible" r:id="rId5"/>
    <sheet name="Swipes" sheetId="4" state="visible" r:id="rId6"/>
    <sheet name="Choices" sheetId="5" state="visible" r:id="rId7"/>
    <sheet name="TestB" sheetId="6" state="visible" r:id="rId8"/>
    <sheet name="TestC" sheetId="7" state="visible" r:id="rId9"/>
    <sheet name="Stops" sheetId="8" state="visible" r:id="rId10"/>
    <sheet name="Posts" sheetId="9" state="visible" r:id="rId11"/>
    <sheet name="Discovery" sheetId="10" state="visible" r:id="rId12"/>
    <sheet name="TestD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G5" authorId="0">
      <text>
        <r>
          <rPr>
            <sz val="10"/>
            <rFont val="Arial"/>
            <family val="2"/>
          </rPr>
          <t xml:space="preserve">Test A question 5.7 (D77), optional. Enter the fields they picked, comma-separated: finance &amp; tech, food, history &amp; culture, nature. Enter 'none' for none of these; leave blank if skipped. Art &amp; design was dropped for Test B (D83). Read by brain.testb.</t>
        </r>
      </text>
    </comment>
  </commentList>
</comments>
</file>

<file path=xl/sharedStrings.xml><?xml version="1.0" encoding="utf-8"?>
<sst xmlns="http://schemas.openxmlformats.org/spreadsheetml/2006/main" count="359" uniqueCount="262">
  <si>
    <t xml:space="preserve">Phase 3 results sheet</t>
  </si>
  <si>
    <t xml:space="preserve">One row per participant, stop, post or choice. Fill in the blue cells only (from row 6). Grey columns are helpers: formulas, do not edit.</t>
  </si>
  <si>
    <t xml:space="preserve">Row 4 on each tab is an example of the format. Formulas ignore it.</t>
  </si>
  <si>
    <t xml:space="preserve">Participant IDs P01–P20 and the Test B labels are pre-filled. The Test B label says which letter the PERSONALISED plan gets for that person (balanced, fixed seed).</t>
  </si>
  <si>
    <t xml:space="preserve">Summary scores every threshold (D2, D18) on STRANGERS ONLY (D43). Test A metrics are split by voice and text (D4). Proportions show Wilson 95% intervals.</t>
  </si>
  <si>
    <t xml:space="preserve">Friends and family are a separate launch channel (D43): set Participants → Launch channel. They are reported in their own Summary block.</t>
  </si>
  <si>
    <t xml:space="preserve">Tabs</t>
  </si>
  <si>
    <t xml:space="preserve">Participants: one row per person (Test A answers and survey).</t>
  </si>
  <si>
    <t xml:space="preserve">Swipes and Choices: the 16 swipe reactions and 10 A/B choices (long format, one row per answer).</t>
  </si>
  <si>
    <t xml:space="preserve">TestB: preference and fit scores. TestC: plan use, second-plan request and virality counts. Stops: one row per rated stop.</t>
  </si>
  <si>
    <t xml:space="preserve">Posts: every recruitment post or B2B contact with minutes spent and sign-ups (D21). TestD: visits and sign-ups by arm (D25, D31).</t>
  </si>
  <si>
    <t xml:space="preserve">Discovery: Test E B2B interviews and optional venue conversations (D34).</t>
  </si>
  <si>
    <t xml:space="preserve">Summary: results vs thresholds. Copy it into validation/results.md at Checkpoint 3.</t>
  </si>
  <si>
    <t xml:space="preserve">Data rules: no audio, no health or allergy details, no nationality. Delete personal data by 31 March 2027 (consent form).</t>
  </si>
  <si>
    <t xml:space="preserve">Summary — Phase 3 results vs thresholds</t>
  </si>
  <si>
    <t xml:space="preserve">All formulas. "no data" until the tabs are filled. Small samples: read a pass as "consistent with", not proof.</t>
  </si>
  <si>
    <t xml:space="preserve">z for 95% intervals</t>
  </si>
  <si>
    <t xml:space="preserve">Metric</t>
  </si>
  <si>
    <t xml:space="preserve">Overall</t>
  </si>
  <si>
    <t xml:space="preserve">Voice</t>
  </si>
  <si>
    <t xml:space="preserve">Text</t>
  </si>
  <si>
    <t xml:space="preserve">Threshold</t>
  </si>
  <si>
    <t xml:space="preserve">Result</t>
  </si>
  <si>
    <t xml:space="preserve">CI low</t>
  </si>
  <si>
    <t xml:space="preserve">CI high</t>
  </si>
  <si>
    <t xml:space="preserve">Note</t>
  </si>
  <si>
    <t xml:space="preserve">Test A — onboarding (strangers only, D43)</t>
  </si>
  <si>
    <t xml:space="preserve">Started (consented)</t>
  </si>
  <si>
    <t xml:space="preserve">Completed the read-back</t>
  </si>
  <si>
    <t xml:space="preserve">Completion rate</t>
  </si>
  <si>
    <t xml:space="preserve">Threshold ≥ 70% (D18)</t>
  </si>
  <si>
    <t xml:space="preserve">"I felt understood" median (1–5)</t>
  </si>
  <si>
    <t xml:space="preserve">Threshold median ≥ 4 (D18)</t>
  </si>
  <si>
    <t xml:space="preserve">"Like a person, not a form" median (1–5)</t>
  </si>
  <si>
    <t xml:space="preserve">Descriptive</t>
  </si>
  <si>
    <t xml:space="preserve">Minutes taken, median</t>
  </si>
  <si>
    <t xml:space="preserve">Photos matter, median (1–5)</t>
  </si>
  <si>
    <t xml:space="preserve">Descriptive (D16)</t>
  </si>
  <si>
    <t xml:space="preserve">Shot-card appeal, median (1–5)</t>
  </si>
  <si>
    <t xml:space="preserve">Test B — blind comparison (strangers only)</t>
  </si>
  <si>
    <t xml:space="preserve">Participants with a preference</t>
  </si>
  <si>
    <t xml:space="preserve">Need ≥ 10 for the 7-of-10 test</t>
  </si>
  <si>
    <t xml:space="preserve">Prefer the personalised plan</t>
  </si>
  <si>
    <t xml:space="preserve">Threshold ≥ 7 of 10</t>
  </si>
  <si>
    <t xml:space="preserve">Share preferring personalised</t>
  </si>
  <si>
    <t xml:space="preserve">"Fits me" median: personalised</t>
  </si>
  <si>
    <t xml:space="preserve">"Fits me" median: generic</t>
  </si>
  <si>
    <t xml:space="preserve">Test C — real use (strangers only)</t>
  </si>
  <si>
    <t xml:space="preserve">Offered a plan</t>
  </si>
  <si>
    <t xml:space="preserve">Used it on a real day (all or part)</t>
  </si>
  <si>
    <t xml:space="preserve">Threshold ≥ 40%</t>
  </si>
  <si>
    <t xml:space="preserve">Asked for a second plan within 2 weeks, unprompted</t>
  </si>
  <si>
    <t xml:space="preserve">Threshold ≥ 30%</t>
  </si>
  <si>
    <t xml:space="preserve">Would go again: yes</t>
  </si>
  <si>
    <t xml:space="preserve">Stop rating, median (1–5)</t>
  </si>
  <si>
    <t xml:space="preserve">Virality (D23; strangers only, D43)</t>
  </si>
  <si>
    <t xml:space="preserve">Invites sent per participant</t>
  </si>
  <si>
    <t xml:space="preserve">Sign-ups per invite</t>
  </si>
  <si>
    <t xml:space="preserve">Shot-card shares per participant</t>
  </si>
  <si>
    <t xml:space="preserve">K = invitee sign-ups per participant</t>
  </si>
  <si>
    <t xml:space="preserve">Compare: £50k paths assume K = 0.3; the London expansion gate proposes K ≥ 0.3 (D42)</t>
  </si>
  <si>
    <t xml:space="preserve">Friends and family (separate launch channel, D43; descriptive, never scored)</t>
  </si>
  <si>
    <t xml:space="preserve">Started</t>
  </si>
  <si>
    <t xml:space="preserve">"I felt understood" median</t>
  </si>
  <si>
    <t xml:space="preserve">K (invitee sign-ups per participant)</t>
  </si>
  <si>
    <t xml:space="preserve">Recruitment (D21)</t>
  </si>
  <si>
    <t xml:space="preserve">Sign-ups per post (Tests A–C posts)</t>
  </si>
  <si>
    <t xml:space="preserve">Workbook guess: 5</t>
  </si>
  <si>
    <t xml:space="preserve">Minutes per post (Tests A–C posts)</t>
  </si>
  <si>
    <t xml:space="preserve">Workbook guess: 30</t>
  </si>
  <si>
    <t xml:space="preserve">Test E — B2B discovery (proposed read-out: ≥ 2 of 5 on each)</t>
  </si>
  <si>
    <t xml:space="preserve">Interviews done (hotel, serviced apartments, tourism, employer)</t>
  </si>
  <si>
    <t xml:space="preserve">5 planned</t>
  </si>
  <si>
    <t xml:space="preserve">Already spend money or staff time on it</t>
  </si>
  <si>
    <t xml:space="preserve">Money &gt; 0 or staff hours &gt; 0</t>
  </si>
  <si>
    <t xml:space="preserve">Gave a commitment (introduction or unpaid pilot)</t>
  </si>
  <si>
    <t xml:space="preserve">Polite interest does not count</t>
  </si>
  <si>
    <t xml:space="preserve">Median current spend (£/month)</t>
  </si>
  <si>
    <t xml:space="preserve">Anchor for the £200–500 B2B range</t>
  </si>
  <si>
    <t xml:space="preserve">Venues open to a trial group discount</t>
  </si>
  <si>
    <t xml:space="preserve">Optional conversations</t>
  </si>
  <si>
    <t xml:space="preserve">Test D — willingness to pay</t>
  </si>
  <si>
    <t xml:space="preserve">Visit → sign-up (excl. invitees)</t>
  </si>
  <si>
    <t xml:space="preserve">Columns: overall, arm A, arm B. Threshold ≥ 10%</t>
  </si>
  <si>
    <t xml:space="preserve">Sign-ups choosing a priced option</t>
  </si>
  <si>
    <t xml:space="preserve">Threshold ≥ 20% (D2)</t>
  </si>
  <si>
    <t xml:space="preserve">Of priced sign-ups: annual</t>
  </si>
  <si>
    <t xml:space="preserve">Participants — Test A</t>
  </si>
  <si>
    <t xml:space="preserve">One row per recruited person. Consent = Y means they started.</t>
  </si>
  <si>
    <t xml:space="preserve">Example (ignored by formulas) →</t>
  </si>
  <si>
    <t xml:space="preserve">P00</t>
  </si>
  <si>
    <t xml:space="preserve">fb-ucl-hiking</t>
  </si>
  <si>
    <t xml:space="preserve">A-03</t>
  </si>
  <si>
    <t xml:space="preserve">don't know</t>
  </si>
  <si>
    <t xml:space="preserve">2026-10-19</t>
  </si>
  <si>
    <t xml:space="preserve">Y</t>
  </si>
  <si>
    <t xml:space="preserve">N</t>
  </si>
  <si>
    <t xml:space="preserve">voice</t>
  </si>
  <si>
    <t xml:space="preserve">the swipe list was long</t>
  </si>
  <si>
    <t xml:space="preserve">coast</t>
  </si>
  <si>
    <t xml:space="preserve">switch off; food</t>
  </si>
  <si>
    <t xml:space="preserve">probed crowds twice</t>
  </si>
  <si>
    <t xml:space="preserve">stranger</t>
  </si>
  <si>
    <t xml:space="preserve">food, nature</t>
  </si>
  <si>
    <t xml:space="preserve">ID</t>
  </si>
  <si>
    <t xml:space="preserve">Source group (post link src)</t>
  </si>
  <si>
    <t xml:space="preserve">Post ID</t>
  </si>
  <si>
    <t xml:space="preserve">How they know Abram</t>
  </si>
  <si>
    <t xml:space="preserve">Date started</t>
  </si>
  <si>
    <t xml:space="preserve">Consent (Y/N)</t>
  </si>
  <si>
    <t xml:space="preserve">Audio 30-day opt-in (Y/N)</t>
  </si>
  <si>
    <t xml:space="preserve">First mode</t>
  </si>
  <si>
    <t xml:space="preserve">Completed read-back (Y/N)</t>
  </si>
  <si>
    <t xml:space="preserve">Minutes taken</t>
  </si>
  <si>
    <t xml:space="preserve">Drop-off layer (1–8, blank if completed)</t>
  </si>
  <si>
    <t xml:space="preserve">Felt understood (1–5)</t>
  </si>
  <si>
    <t xml:space="preserve">Felt like a person (1–5)</t>
  </si>
  <si>
    <t xml:space="preserve">Intrusive or tedious (open)</t>
  </si>
  <si>
    <t xml:space="preserve">Photos matter (1–5)</t>
  </si>
  <si>
    <t xml:space="preserve">Shot-card appeal (1–5)</t>
  </si>
  <si>
    <t xml:space="preserve">Grew up (place type)</t>
  </si>
  <si>
    <t xml:space="preserve">Why they travel (up to 2)</t>
  </si>
  <si>
    <t xml:space="preserve">Host improvised? (notes)</t>
  </si>
  <si>
    <t xml:space="preserve">Launch channel (D43)</t>
  </si>
  <si>
    <t xml:space="preserve">understood | stranger</t>
  </si>
  <si>
    <t xml:space="preserve">understood | stranger voice</t>
  </si>
  <si>
    <t xml:space="preserve">understood | stranger text</t>
  </si>
  <si>
    <t xml:space="preserve">person | stranger</t>
  </si>
  <si>
    <t xml:space="preserve">person | stranger voice</t>
  </si>
  <si>
    <t xml:space="preserve">person | stranger text</t>
  </si>
  <si>
    <t xml:space="preserve">minutes | stranger</t>
  </si>
  <si>
    <t xml:space="preserve">minutes | stranger voice</t>
  </si>
  <si>
    <t xml:space="preserve">minutes | stranger text</t>
  </si>
  <si>
    <t xml:space="preserve">photos | stranger</t>
  </si>
  <si>
    <t xml:space="preserve">shot card | stranger</t>
  </si>
  <si>
    <t xml:space="preserve">understood | friends &amp; family</t>
  </si>
  <si>
    <t xml:space="preserve">Inspiring fields (5.7, optional)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</si>
  <si>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</si>
  <si>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</si>
  <si>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</si>
  <si>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</si>
  <si>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</si>
  <si>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</si>
  <si>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</si>
  <si>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</si>
  <si>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</si>
  <si>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</si>
  <si>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</si>
  <si>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</si>
  <si>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</si>
  <si>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</si>
  <si>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</si>
  <si>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</si>
  <si>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</si>
  <si>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</si>
  <si>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</si>
  <si>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</si>
  <si>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Swipes — 16 London items</t>
  </si>
  <si>
    <t xml:space="preserve">Reaction: 1 Loved it · 2 It was fine · 3 Didn't enjoy it · 4 Haven't been.</t>
  </si>
  <si>
    <t xml:space="preserve">Uber Boat on the Thames</t>
  </si>
  <si>
    <t xml:space="preserve">the wind and the views</t>
  </si>
  <si>
    <t xml:space="preserve">Participant</t>
  </si>
  <si>
    <t xml:space="preserve">Item #</t>
  </si>
  <si>
    <t xml:space="preserve">Item</t>
  </si>
  <si>
    <t xml:space="preserve">Reaction (1–4)</t>
  </si>
  <si>
    <t xml:space="preserve">Follow-up answer</t>
  </si>
  <si>
    <t xml:space="preserve">This or that — 10 tasks</t>
  </si>
  <si>
    <t xml:space="preserve">Tasks and plans are in validation/conjoint/design.csv.</t>
  </si>
  <si>
    <t xml:space="preserve">B</t>
  </si>
  <si>
    <t xml:space="preserve">Task (1–10)</t>
  </si>
  <si>
    <t xml:space="preserve">Chose (A/B)</t>
  </si>
  <si>
    <t xml:space="preserve">Test B — blind plan comparison</t>
  </si>
  <si>
    <t xml:space="preserve">Column B is pre-randomised: the letter the PERSONALISED plan gets. Never tell the participant.</t>
  </si>
  <si>
    <t xml:space="preserve">more boat, less queueing</t>
  </si>
  <si>
    <t xml:space="preserve">Personalised plan label</t>
  </si>
  <si>
    <t xml:space="preserve">Preferred (A/B)</t>
  </si>
  <si>
    <t xml:space="preserve">"Fits me" plan A (1–5)</t>
  </si>
  <si>
    <t xml:space="preserve">"Fits me" plan B (1–5)</t>
  </si>
  <si>
    <t xml:space="preserve">Why (open)</t>
  </si>
  <si>
    <t xml:space="preserve">channel</t>
  </si>
  <si>
    <t xml:space="preserve">prefers personalised | stranger</t>
  </si>
  <si>
    <t xml:space="preserve">fit | personalised | stranger</t>
  </si>
  <si>
    <t xml:space="preserve">fit | generic | stranger</t>
  </si>
  <si>
    <t xml:space="preserve">prefers personalised | friends &amp; family</t>
  </si>
  <si>
    <t xml:space="preserve">A</t>
  </si>
  <si>
    <t xml:space="preserve">Test C — real day, second plan, virality (D23)</t>
  </si>
  <si>
    <t xml:space="preserve">One row per participant offered a plan. Counts are whole numbers (0 if none).</t>
  </si>
  <si>
    <t xml:space="preserve">personalised</t>
  </si>
  <si>
    <t xml:space="preserve">part</t>
  </si>
  <si>
    <t xml:space="preserve">2026-10-25</t>
  </si>
  <si>
    <t xml:space="preserve">yes</t>
  </si>
  <si>
    <t xml:space="preserve">calm, the boat was the best bit</t>
  </si>
  <si>
    <t xml:space="preserve">Plan offered</t>
  </si>
  <si>
    <t xml:space="preserve">Used it</t>
  </si>
  <si>
    <t xml:space="preserve">Date of the day</t>
  </si>
  <si>
    <t xml:space="preserve">Would go again</t>
  </si>
  <si>
    <t xml:space="preserve">Asked for 2nd plan within 14 days, unprompted (Y/N)</t>
  </si>
  <si>
    <t xml:space="preserve">Invites sent</t>
  </si>
  <si>
    <t xml:space="preserve">Invitee sign-ups (ref code or named)</t>
  </si>
  <si>
    <t xml:space="preserve">Shot-card shares</t>
  </si>
  <si>
    <t xml:space="preserve">Brought a friend on the day (Y/N)</t>
  </si>
  <si>
    <t xml:space="preserve">How it felt (open)</t>
  </si>
  <si>
    <t xml:space="preserve">Stops — per-stop ratings (Test C)</t>
  </si>
  <si>
    <t xml:space="preserve">One row per rated stop. Weather: look it up afterwards for the stop time.</t>
  </si>
  <si>
    <t xml:space="preserve">Uber Boat, Westminster to Greenwich</t>
  </si>
  <si>
    <t xml:space="preserve">11:40</t>
  </si>
  <si>
    <t xml:space="preserve">17°C, dry</t>
  </si>
  <si>
    <t xml:space="preserve">Date</t>
  </si>
  <si>
    <t xml:space="preserve">Stop #</t>
  </si>
  <si>
    <t xml:space="preserve">Moment / place</t>
  </si>
  <si>
    <t xml:space="preserve">Time (hh:mm)</t>
  </si>
  <si>
    <t xml:space="preserve">Rating (1–5)</t>
  </si>
  <si>
    <t xml:space="preserve">Weather</t>
  </si>
  <si>
    <t xml:space="preserve">Travel time to it (min)</t>
  </si>
  <si>
    <t xml:space="preserve">Shot-card stop (Y/N)</t>
  </si>
  <si>
    <t xml:space="preserve">Notes</t>
  </si>
  <si>
    <t xml:space="preserve">rating | stranger</t>
  </si>
  <si>
    <t xml:space="preserve">Recruitment posts (D21)</t>
  </si>
  <si>
    <t xml:space="preserve">Minutes = writing + posting + replying. Sign-ups = form rows with this post's src.</t>
  </si>
  <si>
    <t xml:space="preserve">A-C</t>
  </si>
  <si>
    <t xml:space="preserve">UCL Hiking Society</t>
  </si>
  <si>
    <t xml:space="preserve">Facebook</t>
  </si>
  <si>
    <t xml:space="preserve">2026-10-15</t>
  </si>
  <si>
    <t xml:space="preserve">For</t>
  </si>
  <si>
    <t xml:space="preserve">Group</t>
  </si>
  <si>
    <t xml:space="preserve">Channel</t>
  </si>
  <si>
    <t xml:space="preserve">Minutes spent</t>
  </si>
  <si>
    <t xml:space="preserve">Sign-ups from it</t>
  </si>
  <si>
    <t xml:space="preserve">Test E — B2B discovery interviews (D34)</t>
  </si>
  <si>
    <t xml:space="preserve">One row per interview (5 planned) or venue conversation. Past behaviour only; no pitching until the close.</t>
  </si>
  <si>
    <t xml:space="preserve">E00</t>
  </si>
  <si>
    <t xml:space="preserve">hotel</t>
  </si>
  <si>
    <t xml:space="preserve">Guest experience manager</t>
  </si>
  <si>
    <t xml:space="preserve">2026-10-21</t>
  </si>
  <si>
    <t xml:space="preserve">concierge knowledge + printed map</t>
  </si>
  <si>
    <t xml:space="preserve">"half our reviews mention the concierge tips"</t>
  </si>
  <si>
    <t xml:space="preserve">introduction</t>
  </si>
  <si>
    <t xml:space="preserve">group owner signs off guest-experience spend</t>
  </si>
  <si>
    <t xml:space="preserve">Type</t>
  </si>
  <si>
    <t xml:space="preserve">Role</t>
  </si>
  <si>
    <t xml:space="preserve">Guests or visitors per week</t>
  </si>
  <si>
    <t xml:space="preserve">What they use now</t>
  </si>
  <si>
    <t xml:space="preserve">Current spend (£/month, 0 if none)</t>
  </si>
  <si>
    <t xml:space="preserve">Staff time on it (hours/week)</t>
  </si>
  <si>
    <t xml:space="preserve">Budget owner named (Y/N)</t>
  </si>
  <si>
    <t xml:space="preserve">Strongest pain quote (verbatim)</t>
  </si>
  <si>
    <t xml:space="preserve">Commitment</t>
  </si>
  <si>
    <t xml:space="preserve">Test D — landing page by arm (D25)</t>
  </si>
  <si>
    <t xml:space="preserve">From GoatCounter (/arm-A, /arm-B) and the Tally export. Exclude src=participant and src=ff (friends and family, D43; count them in row 15). Invitees = rows with a ref code.</t>
  </si>
  <si>
    <t xml:space="preserve">Line</t>
  </si>
  <si>
    <t xml:space="preserve">Arm A (£4.99/m, £49.99/yr)</t>
  </si>
  <si>
    <t xml:space="preserve">Arm B (£9.99/m, £99.99/yr)</t>
  </si>
  <si>
    <t xml:space="preserve">Total</t>
  </si>
  <si>
    <t xml:space="preserve">Visits</t>
  </si>
  <si>
    <t xml:space="preserve">Sign-ups: free waitlist</t>
  </si>
  <si>
    <t xml:space="preserve">Sign-ups: founding price, monthly</t>
  </si>
  <si>
    <t xml:space="preserve">Sign-ups: founding price, annual</t>
  </si>
  <si>
    <t xml:space="preserve">Of all sign-ups: invitees (had a ref code)</t>
  </si>
  <si>
    <t xml:space="preserve">Sign-ups (all)</t>
  </si>
  <si>
    <t xml:space="preserve">Sign-ups excl. invitees</t>
  </si>
  <si>
    <t xml:space="preserve">Of priced: annual</t>
  </si>
  <si>
    <t xml:space="preserve">Friends-and-family sign-ups (src=ff), not in any rate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</si>
</sst>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0.0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EDEDED"/>
      </patternFill>
    </fill>
    <fill>
      <patternFill patternType="solid">
        <fgColor rgb="FFEDEDED"/>
        <bgColor rgb="FFF7F7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3" t="s">
        <v>3</v>
      </c>
    </row>
    <row r="5" customFormat="false" ht="15" hidden="false" customHeight="true" outlineLevel="0" collapsed="false">
      <c r="A5" s="3" t="s">
        <v>4</v>
      </c>
    </row>
    <row r="6" customFormat="false" ht="15" hidden="false" customHeight="true" outlineLevel="0" collapsed="false">
      <c r="A6" s="3" t="s">
        <v>5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4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 t="s">
        <v>9</v>
      </c>
    </row>
    <row r="12" customFormat="false" ht="15" hidden="false" customHeight="true" outlineLevel="0" collapsed="false">
      <c r="A12" s="3" t="s">
        <v>10</v>
      </c>
    </row>
    <row r="13" customFormat="false" ht="15" hidden="false" customHeight="true" outlineLevel="0" collapsed="false">
      <c r="A13" s="3" t="s">
        <v>11</v>
      </c>
    </row>
    <row r="14" customFormat="false" ht="15" hidden="false" customHeight="true" outlineLevel="0" collapsed="false">
      <c r="A14" s="3" t="s">
        <v>12</v>
      </c>
    </row>
    <row r="15" customFormat="false" ht="15" hidden="false" customHeight="true" outlineLevel="0" collapsed="false">
      <c r="A15" s="3"/>
    </row>
    <row r="16" customFormat="false" ht="15" hidden="false" customHeight="true" outlineLevel="0" collapsed="false">
      <c r="A16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4" min="2" style="1" width="1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8" min="7" style="1" width="12"/>
    <col collapsed="false" customWidth="true" hidden="false" outlineLevel="0" max="9" min="9" style="1" width="40"/>
  </cols>
  <sheetData>
    <row r="1" customFormat="false" ht="17.25" hidden="false" customHeight="true" outlineLevel="0" collapsed="false">
      <c r="A1" s="6" t="s">
        <v>14</v>
      </c>
    </row>
    <row r="2" customFormat="false" ht="15" hidden="false" customHeight="true" outlineLevel="0" collapsed="false">
      <c r="A2" s="7" t="s">
        <v>15</v>
      </c>
    </row>
    <row r="3" customFormat="false" ht="15" hidden="false" customHeight="true" outlineLevel="0" collapsed="false">
      <c r="A3" s="8" t="s">
        <v>16</v>
      </c>
      <c r="B3" s="9" t="n">
        <v>1.96</v>
      </c>
    </row>
    <row r="5" customFormat="false" ht="15" hidden="false" customHeight="true" outlineLevel="0" collapsed="false">
      <c r="A5" s="10" t="s">
        <v>17</v>
      </c>
      <c r="B5" s="10" t="s">
        <v>18</v>
      </c>
      <c r="C5" s="10" t="s">
        <v>19</v>
      </c>
      <c r="D5" s="10" t="s">
        <v>20</v>
      </c>
      <c r="E5" s="10" t="s">
        <v>21</v>
      </c>
      <c r="F5" s="10" t="s">
        <v>22</v>
      </c>
      <c r="G5" s="10" t="s">
        <v>23</v>
      </c>
      <c r="H5" s="10" t="s">
        <v>24</v>
      </c>
      <c r="I5" s="10" t="s">
        <v>25</v>
      </c>
    </row>
    <row r="6" customFormat="false" ht="15" hidden="false" customHeight="true" outlineLevel="0" collapsed="false">
      <c r="A6" s="11" t="s">
        <v>26</v>
      </c>
    </row>
    <row r="7" customFormat="false" ht="15" hidden="false" customHeight="true" outlineLevel="0" collapsed="false">
      <c r="A7" s="8" t="s">
        <v>27</v>
      </c>
      <c r="B7" s="12" t="n">
        <f aca="false">COUNTIFS(Participants!F6:F205,"Y",Participants!T6:T205,"stranger")</f>
        <v>0</v>
      </c>
      <c r="C7" s="12" t="n">
        <f aca="false">COUNTIFS(Participants!F6:F205,"Y",Participants!T6:T205,"stranger",Participants!H6:H205,"voice")</f>
        <v>0</v>
      </c>
      <c r="D7" s="12" t="n">
        <f aca="false">COUNTIFS(Participants!F6:F205,"Y",Participants!T6:T205,"stranger",Participants!H6:H205,"text")</f>
        <v>0</v>
      </c>
      <c r="I7" s="7"/>
    </row>
    <row r="8" customFormat="false" ht="15" hidden="false" customHeight="true" outlineLevel="0" collapsed="false">
      <c r="A8" s="8" t="s">
        <v>28</v>
      </c>
      <c r="B8" s="12" t="n">
        <f aca="false">COUNTIFS(Participants!F6:F205,"Y",Participants!I6:I205,"Y",Participants!T6:T205,"stranger")</f>
        <v>0</v>
      </c>
      <c r="C8" s="12" t="n">
        <f aca="false">COUNTIFS(Participants!F6:F205,"Y",Participants!I6:I205,"Y",Participants!T6:T205,"stranger",Participants!H6:H205,"voice")</f>
        <v>0</v>
      </c>
      <c r="D8" s="12" t="n">
        <f aca="false">COUNTIFS(Participants!F6:F205,"Y",Participants!I6:I205,"Y",Participants!T6:T205,"stranger",Participants!H6:H205,"text")</f>
        <v>0</v>
      </c>
      <c r="I8" s="7"/>
    </row>
    <row r="9" customFormat="false" ht="15" hidden="false" customHeight="true" outlineLevel="0" collapsed="false">
      <c r="A9" s="8" t="s">
        <v>29</v>
      </c>
      <c r="B9" s="13" t="str">
        <f aca="false">IF(COUNTIFS(Participants!F6:F205,"Y",Participants!T6:T205,"stranger")=0,"no data",COUNTIFS(Participants!F6:F205,"Y",Participants!I6:I205,"Y",Participants!T6:T205,"stranger")/COUNTIFS(Participants!F6:F205,"Y",Participants!T6:T205,"stranger"))</f>
        <v>no data</v>
      </c>
      <c r="C9" s="13" t="str">
        <f aca="false">IF(COUNTIFS(Participants!F6:F205,"Y",Participants!T6:T205,"stranger",Participants!H6:H205,"voice")=0,"no data",COUNTIFS(Participants!F6:F205,"Y",Participants!I6:I205,"Y",Participants!T6:T205,"stranger",Participants!H6:H205,"voice")/COUNTIFS(Participants!F6:F205,"Y",Participants!T6:T205,"stranger",Participants!H6:H205,"voice"))</f>
        <v>no data</v>
      </c>
      <c r="D9" s="13" t="str">
        <f aca="false">IF(COUNTIFS(Participants!F6:F205,"Y",Participants!T6:T205,"stranger",Participants!H6:H205,"text")=0,"no data",COUNTIFS(Participants!F6:F205,"Y",Participants!I6:I205,"Y",Participants!T6:T205,"stranger",Participants!H6:H205,"text")/COUNTIFS(Participants!F6:F205,"Y",Participants!T6:T205,"stranger",Participants!H6:H205,"text"))</f>
        <v>no data</v>
      </c>
      <c r="E9" s="14" t="n">
        <v>0.7</v>
      </c>
      <c r="F9" s="15" t="str">
        <f aca="false">IF(ISNUMBER(B9),IF(B9&gt;=E9,"PASS","FAIL"),"no data")</f>
        <v>no data</v>
      </c>
      <c r="G9" s="13" t="str">
        <f aca="false">IF(ISNUMBER(B9),((B9+$B$3^2/(2*COUNTIFS(Participants!F6:F205,"Y",Participants!T6:T205,"stranger")))-$B$3*SQRT(B9*(1-B9)/COUNTIFS(Participants!F6:F205,"Y",Participants!T6:T205,"stranger")+$B$3^2/(4*COUNTIFS(Participants!F6:F205,"Y",Participants!T6:T205,"stranger")^2)))/(1+$B$3^2/COUNTIFS(Participants!F6:F205,"Y",Participants!T6:T205,"stranger")),"")</f>
        <v/>
      </c>
      <c r="H9" s="13" t="str">
        <f aca="false">IF(ISNUMBER(B9),((B9+$B$3^2/(2*COUNTIFS(Participants!F6:F205,"Y",Participants!T6:T205,"stranger")))+$B$3*SQRT(B9*(1-B9)/COUNTIFS(Participants!F6:F205,"Y",Participants!T6:T205,"stranger")+$B$3^2/(4*COUNTIFS(Participants!F6:F205,"Y",Participants!T6:T205,"stranger")^2)))/(1+$B$3^2/COUNTIFS(Participants!F6:F205,"Y",Participants!T6:T205,"stranger")),"")</f>
        <v/>
      </c>
      <c r="I9" s="7" t="s">
        <v>30</v>
      </c>
    </row>
    <row r="10" customFormat="false" ht="15" hidden="false" customHeight="true" outlineLevel="0" collapsed="false">
      <c r="A10" s="8" t="s">
        <v>31</v>
      </c>
      <c r="B10" s="16" t="str">
        <f aca="false">IF(COUNT(Participants!U6:U205)=0,"no data",MEDIAN(Participants!U6:U205))</f>
        <v>no data</v>
      </c>
      <c r="C10" s="16" t="str">
        <f aca="false">IF(COUNT(Participants!V6:V205)=0,"no data",MEDIAN(Participants!V6:V205))</f>
        <v>no data</v>
      </c>
      <c r="D10" s="16" t="str">
        <f aca="false">IF(COUNT(Participants!W6:W205)=0,"no data",MEDIAN(Participants!W6:W205))</f>
        <v>no data</v>
      </c>
      <c r="E10" s="17" t="n">
        <v>4</v>
      </c>
      <c r="F10" s="15" t="str">
        <f aca="false">IF(ISNUMBER(B10),IF(B10&gt;=E10,"PASS","FAIL"),"no data")</f>
        <v>no data</v>
      </c>
      <c r="I10" s="7" t="s">
        <v>32</v>
      </c>
    </row>
    <row r="11" customFormat="false" ht="15" hidden="false" customHeight="true" outlineLevel="0" collapsed="false">
      <c r="A11" s="8" t="s">
        <v>33</v>
      </c>
      <c r="B11" s="16" t="str">
        <f aca="false">IF(COUNT(Participants!X6:X205)=0,"no data",MEDIAN(Participants!X6:X205))</f>
        <v>no data</v>
      </c>
      <c r="C11" s="16" t="str">
        <f aca="false">IF(COUNT(Participants!Y6:Y205)=0,"no data",MEDIAN(Participants!Y6:Y205))</f>
        <v>no data</v>
      </c>
      <c r="D11" s="16" t="str">
        <f aca="false">IF(COUNT(Participants!Z6:Z205)=0,"no data",MEDIAN(Participants!Z6:Z205))</f>
        <v>no data</v>
      </c>
      <c r="I11" s="7" t="s">
        <v>34</v>
      </c>
    </row>
    <row r="12" customFormat="false" ht="15" hidden="false" customHeight="true" outlineLevel="0" collapsed="false">
      <c r="A12" s="8" t="s">
        <v>35</v>
      </c>
      <c r="B12" s="12" t="str">
        <f aca="false">IF(COUNT(Participants!AA6:AA205)=0,"no data",MEDIAN(Participants!AA6:AA205))</f>
        <v>no data</v>
      </c>
      <c r="C12" s="12" t="str">
        <f aca="false">IF(COUNT(Participants!AB6:AB205)=0,"no data",MEDIAN(Participants!AB6:AB205))</f>
        <v>no data</v>
      </c>
      <c r="D12" s="12" t="str">
        <f aca="false">IF(COUNT(Participants!AC6:AC205)=0,"no data",MEDIAN(Participants!AC6:AC205))</f>
        <v>no data</v>
      </c>
      <c r="I12" s="7" t="s">
        <v>34</v>
      </c>
    </row>
    <row r="13" customFormat="false" ht="15" hidden="false" customHeight="true" outlineLevel="0" collapsed="false">
      <c r="A13" s="8" t="s">
        <v>36</v>
      </c>
      <c r="B13" s="16" t="str">
        <f aca="false">IF(COUNT(Participants!AD6:AD205)=0,"no data",MEDIAN(Participants!AD6:AD205))</f>
        <v>no data</v>
      </c>
      <c r="I13" s="7" t="s">
        <v>37</v>
      </c>
    </row>
    <row r="14" customFormat="false" ht="15" hidden="false" customHeight="true" outlineLevel="0" collapsed="false">
      <c r="A14" s="8" t="s">
        <v>38</v>
      </c>
      <c r="B14" s="16" t="str">
        <f aca="false">IF(COUNT(Participants!AE6:AE205)=0,"no data",MEDIAN(Participants!AE6:AE205))</f>
        <v>no data</v>
      </c>
      <c r="I14" s="7" t="s">
        <v>37</v>
      </c>
    </row>
    <row r="15" customFormat="false" ht="15" hidden="false" customHeight="true" outlineLevel="0" collapsed="false">
      <c r="A15" s="11" t="s">
        <v>39</v>
      </c>
    </row>
    <row r="16" customFormat="false" ht="15" hidden="false" customHeight="true" outlineLevel="0" collapsed="false">
      <c r="A16" s="8" t="s">
        <v>40</v>
      </c>
      <c r="B16" s="12" t="n">
        <f aca="false">COUNT(TestB!H6:H205)</f>
        <v>0</v>
      </c>
      <c r="E16" s="18" t="n">
        <v>10</v>
      </c>
      <c r="F16" s="15" t="str">
        <f aca="false">IF(B16&gt;=E16,"enough","too few")</f>
        <v>too few</v>
      </c>
      <c r="I16" s="7" t="s">
        <v>41</v>
      </c>
    </row>
    <row r="17" customFormat="false" ht="15" hidden="false" customHeight="true" outlineLevel="0" collapsed="false">
      <c r="A17" s="8" t="s">
        <v>42</v>
      </c>
      <c r="B17" s="12" t="n">
        <f aca="false">SUM(TestB!H6:H205)</f>
        <v>0</v>
      </c>
      <c r="E17" s="18" t="n">
        <v>7</v>
      </c>
      <c r="F17" s="15" t="str">
        <f aca="false">IF(B16&lt;10,"too few",IF(B17&gt;=E17*B16/10,"PASS","FAIL"))</f>
        <v>too few</v>
      </c>
      <c r="I17" s="7" t="s">
        <v>43</v>
      </c>
    </row>
    <row r="18" customFormat="false" ht="15" hidden="false" customHeight="true" outlineLevel="0" collapsed="false">
      <c r="A18" s="8" t="s">
        <v>44</v>
      </c>
      <c r="B18" s="13" t="str">
        <f aca="false">IF(COUNT(TestB!H6:H205)=0,"no data",SUM(TestB!H6:H205)/COUNT(TestB!H6:H205))</f>
        <v>no data</v>
      </c>
      <c r="E18" s="14" t="n">
        <v>0.7</v>
      </c>
      <c r="F18" s="15" t="str">
        <f aca="false">IF(ISNUMBER(B18),IF(B18&gt;=E18,"PASS","FAIL"),"no data")</f>
        <v>no data</v>
      </c>
      <c r="G18" s="13" t="str">
        <f aca="false">IF(ISNUMBER(B18),((B18+$B$3^2/(2*COUNT(TestB!H6:H205)))-$B$3*SQRT(B18*(1-B18)/COUNT(TestB!H6:H205)+$B$3^2/(4*COUNT(TestB!H6:H205)^2)))/(1+$B$3^2/COUNT(TestB!H6:H205)),"")</f>
        <v/>
      </c>
      <c r="H18" s="13" t="str">
        <f aca="false">IF(ISNUMBER(B18),((B18+$B$3^2/(2*COUNT(TestB!H6:H205)))+$B$3*SQRT(B18*(1-B18)/COUNT(TestB!H6:H205)+$B$3^2/(4*COUNT(TestB!H6:H205)^2)))/(1+$B$3^2/COUNT(TestB!H6:H205)),"")</f>
        <v/>
      </c>
      <c r="I18" s="7"/>
    </row>
    <row r="19" customFormat="false" ht="15" hidden="false" customHeight="true" outlineLevel="0" collapsed="false">
      <c r="A19" s="8" t="s">
        <v>45</v>
      </c>
      <c r="B19" s="16" t="str">
        <f aca="false">IF(COUNT(TestB!I6:I205)=0,"no data",MEDIAN(TestB!I6:I205))</f>
        <v>no data</v>
      </c>
      <c r="I19" s="7"/>
    </row>
    <row r="20" customFormat="false" ht="15" hidden="false" customHeight="true" outlineLevel="0" collapsed="false">
      <c r="A20" s="8" t="s">
        <v>46</v>
      </c>
      <c r="B20" s="16" t="str">
        <f aca="false">IF(COUNT(TestB!J6:J205)=0,"no data",MEDIAN(TestB!J6:J205))</f>
        <v>no data</v>
      </c>
      <c r="I20" s="7"/>
    </row>
    <row r="21" customFormat="false" ht="15" hidden="false" customHeight="true" outlineLevel="0" collapsed="false">
      <c r="A21" s="11" t="s">
        <v>47</v>
      </c>
    </row>
    <row r="22" customFormat="false" ht="15" hidden="false" customHeight="true" outlineLevel="0" collapsed="false">
      <c r="A22" s="8" t="s">
        <v>48</v>
      </c>
      <c r="B22" s="12" t="n">
        <f aca="false">COUNTIFS(TestC!B6:B205,"&lt;&gt;",TestC!L6:L205,"stranger")</f>
        <v>0</v>
      </c>
      <c r="I22" s="7"/>
    </row>
    <row r="23" customFormat="false" ht="15" hidden="false" customHeight="true" outlineLevel="0" collapsed="false">
      <c r="A23" s="8" t="s">
        <v>49</v>
      </c>
      <c r="B23" s="13" t="str">
        <f aca="false">IF(COUNTIFS(TestC!B6:B205,"&lt;&gt;",TestC!L6:L205,"stranger")=0,"no data",(COUNTIFS(TestC!C6:C205,"all",TestC!L6:L205,"stranger")+COUNTIFS(TestC!C6:C205,"part",TestC!L6:L205,"stranger"))/COUNTIFS(TestC!B6:B205,"&lt;&gt;",TestC!L6:L205,"stranger"))</f>
        <v>no data</v>
      </c>
      <c r="E23" s="14" t="n">
        <v>0.4</v>
      </c>
      <c r="F23" s="15" t="str">
        <f aca="false">IF(ISNUMBER(B23),IF(B23&gt;=E23,"PASS","FAIL"),"no data")</f>
        <v>no data</v>
      </c>
      <c r="G23" s="13" t="str">
        <f aca="false">IF(ISNUMBER(B23),((B23+$B$3^2/(2*COUNTIFS(TestC!B6:B205,"&lt;&gt;",TestC!L6:L205,"stranger")))-$B$3*SQRT(B23*(1-B23)/COUNTIFS(TestC!B6:B205,"&lt;&gt;",TestC!L6:L205,"stranger")+$B$3^2/(4*COUNTIFS(TestC!B6:B205,"&lt;&gt;",TestC!L6:L205,"stranger")^2)))/(1+$B$3^2/COUNTIFS(TestC!B6:B205,"&lt;&gt;",TestC!L6:L205,"stranger")),"")</f>
        <v/>
      </c>
      <c r="H23" s="13" t="str">
        <f aca="false">IF(ISNUMBER(B23),((B23+$B$3^2/(2*COUNTIFS(TestC!B6:B205,"&lt;&gt;",TestC!L6:L205,"stranger")))+$B$3*SQRT(B23*(1-B23)/COUNTIFS(TestC!B6:B205,"&lt;&gt;",TestC!L6:L205,"stranger")+$B$3^2/(4*COUNTIFS(TestC!B6:B205,"&lt;&gt;",TestC!L6:L205,"stranger")^2)))/(1+$B$3^2/COUNTIFS(TestC!B6:B205,"&lt;&gt;",TestC!L6:L205,"stranger")),"")</f>
        <v/>
      </c>
      <c r="I23" s="7" t="s">
        <v>50</v>
      </c>
    </row>
    <row r="24" customFormat="false" ht="15" hidden="false" customHeight="true" outlineLevel="0" collapsed="false">
      <c r="A24" s="8" t="s">
        <v>51</v>
      </c>
      <c r="B24" s="13" t="str">
        <f aca="false">IF(COUNTIFS(TestC!B6:B205,"&lt;&gt;",TestC!L6:L205,"stranger")=0,"no data",COUNTIFS(TestC!F6:F205,"Y",TestC!L6:L205,"stranger")/COUNTIFS(TestC!B6:B205,"&lt;&gt;",TestC!L6:L205,"stranger"))</f>
        <v>no data</v>
      </c>
      <c r="E24" s="14" t="n">
        <v>0.3</v>
      </c>
      <c r="F24" s="15" t="str">
        <f aca="false">IF(ISNUMBER(B24),IF(B24&gt;=E24,"PASS","FAIL"),"no data")</f>
        <v>no data</v>
      </c>
      <c r="G24" s="13" t="str">
        <f aca="false">IF(ISNUMBER(B24),((B24+$B$3^2/(2*COUNTIFS(TestC!B6:B205,"&lt;&gt;",TestC!L6:L205,"stranger")))-$B$3*SQRT(B24*(1-B24)/COUNTIFS(TestC!B6:B205,"&lt;&gt;",TestC!L6:L205,"stranger")+$B$3^2/(4*COUNTIFS(TestC!B6:B205,"&lt;&gt;",TestC!L6:L205,"stranger")^2)))/(1+$B$3^2/COUNTIFS(TestC!B6:B205,"&lt;&gt;",TestC!L6:L205,"stranger")),"")</f>
        <v/>
      </c>
      <c r="H24" s="13" t="str">
        <f aca="false">IF(ISNUMBER(B24),((B24+$B$3^2/(2*COUNTIFS(TestC!B6:B205,"&lt;&gt;",TestC!L6:L205,"stranger")))+$B$3*SQRT(B24*(1-B24)/COUNTIFS(TestC!B6:B205,"&lt;&gt;",TestC!L6:L205,"stranger")+$B$3^2/(4*COUNTIFS(TestC!B6:B205,"&lt;&gt;",TestC!L6:L205,"stranger")^2)))/(1+$B$3^2/COUNTIFS(TestC!B6:B205,"&lt;&gt;",TestC!L6:L205,"stranger")),"")</f>
        <v/>
      </c>
      <c r="I24" s="7" t="s">
        <v>52</v>
      </c>
    </row>
    <row r="25" customFormat="false" ht="15" hidden="false" customHeight="true" outlineLevel="0" collapsed="false">
      <c r="A25" s="8" t="s">
        <v>53</v>
      </c>
      <c r="B25" s="13" t="str">
        <f aca="false">IF(COUNTIFS(TestC!E6:E205,"&lt;&gt;",TestC!L6:L205,"stranger")=0,"no data",COUNTIFS(TestC!E6:E205,"yes",TestC!L6:L205,"stranger")/COUNTIFS(TestC!E6:E205,"&lt;&gt;",TestC!L6:L205,"stranger"))</f>
        <v>no data</v>
      </c>
      <c r="I25" s="7"/>
    </row>
    <row r="26" customFormat="false" ht="15" hidden="false" customHeight="true" outlineLevel="0" collapsed="false">
      <c r="A26" s="8" t="s">
        <v>54</v>
      </c>
      <c r="B26" s="16" t="str">
        <f aca="false">IF(COUNT(Stops!L6:L205)=0,"no data",MEDIAN(Stops!L6:L205))</f>
        <v>no data</v>
      </c>
      <c r="I26" s="7"/>
    </row>
    <row r="27" customFormat="false" ht="15" hidden="false" customHeight="true" outlineLevel="0" collapsed="false">
      <c r="A27" s="11" t="s">
        <v>55</v>
      </c>
    </row>
    <row r="28" customFormat="false" ht="15" hidden="false" customHeight="true" outlineLevel="0" collapsed="false">
      <c r="A28" s="8" t="s">
        <v>56</v>
      </c>
      <c r="B28" s="19" t="str">
        <f aca="false">IF(COUNTIFS(TestC!B6:B205,"&lt;&gt;",TestC!L6:L205,"stranger")=0,"no data",SUMIFS(TestC!G6:G205,TestC!L6:L205,"stranger")/COUNTIFS(TestC!B6:B205,"&lt;&gt;",TestC!L6:L205,"stranger"))</f>
        <v>no data</v>
      </c>
      <c r="I28" s="7"/>
    </row>
    <row r="29" customFormat="false" ht="15" hidden="false" customHeight="true" outlineLevel="0" collapsed="false">
      <c r="A29" s="8" t="s">
        <v>57</v>
      </c>
      <c r="B29" s="13" t="str">
        <f aca="false">IF(SUMIFS(TestC!G6:G205,TestC!L6:L205,"stranger")=0,"no data",SUMIFS(TestC!H6:H205,TestC!L6:L205,"stranger")/SUMIFS(TestC!G6:G205,TestC!L6:L205,"stranger"))</f>
        <v>no data</v>
      </c>
      <c r="I29" s="7"/>
    </row>
    <row r="30" customFormat="false" ht="15" hidden="false" customHeight="true" outlineLevel="0" collapsed="false">
      <c r="A30" s="8" t="s">
        <v>58</v>
      </c>
      <c r="B30" s="19" t="str">
        <f aca="false">IF(COUNTIFS(TestC!B6:B205,"&lt;&gt;",TestC!L6:L205,"stranger")=0,"no data",SUMIFS(TestC!I6:I205,TestC!L6:L205,"stranger")/COUNTIFS(TestC!B6:B205,"&lt;&gt;",TestC!L6:L205,"stranger"))</f>
        <v>no data</v>
      </c>
      <c r="I30" s="7"/>
    </row>
    <row r="31" customFormat="false" ht="15" hidden="false" customHeight="true" outlineLevel="0" collapsed="false">
      <c r="A31" s="8" t="s">
        <v>59</v>
      </c>
      <c r="B31" s="19" t="str">
        <f aca="false">IF(COUNTIFS(TestC!B6:B205,"&lt;&gt;",TestC!L6:L205,"stranger")=0,"no data",SUMIFS(TestC!H6:H205,TestC!L6:L205,"stranger")/COUNTIFS(TestC!B6:B205,"&lt;&gt;",TestC!L6:L205,"stranger"))</f>
        <v>no data</v>
      </c>
      <c r="I31" s="7" t="s">
        <v>60</v>
      </c>
    </row>
    <row r="32" customFormat="false" ht="15" hidden="false" customHeight="true" outlineLevel="0" collapsed="false">
      <c r="A32" s="11" t="s">
        <v>61</v>
      </c>
    </row>
    <row r="33" customFormat="false" ht="15" hidden="false" customHeight="true" outlineLevel="0" collapsed="false">
      <c r="A33" s="8" t="s">
        <v>62</v>
      </c>
      <c r="B33" s="12" t="n">
        <f aca="false">COUNTIFS(Participants!F6:F205,"Y",Participants!T6:T205,"friends &amp; family")</f>
        <v>0</v>
      </c>
      <c r="I33" s="7"/>
    </row>
    <row r="34" customFormat="false" ht="15" hidden="false" customHeight="true" outlineLevel="0" collapsed="false">
      <c r="A34" s="8" t="s">
        <v>29</v>
      </c>
      <c r="B34" s="13" t="str">
        <f aca="false">IF(COUNTIFS(Participants!F6:F205,"Y",Participants!T6:T205,"friends &amp; family")=0,"no data",COUNTIFS(Participants!F6:F205,"Y",Participants!I6:I205,"Y",Participants!T6:T205,"friends &amp; family")/COUNTIFS(Participants!F6:F205,"Y",Participants!T6:T205,"friends &amp; family"))</f>
        <v>no data</v>
      </c>
      <c r="I34" s="7"/>
    </row>
    <row r="35" customFormat="false" ht="15" hidden="false" customHeight="true" outlineLevel="0" collapsed="false">
      <c r="A35" s="8" t="s">
        <v>63</v>
      </c>
      <c r="B35" s="16" t="str">
        <f aca="false">IF(COUNT(Participants!AF6:AF205)=0,"no data",MEDIAN(Participants!AF6:AF205))</f>
        <v>no data</v>
      </c>
      <c r="I35" s="7"/>
    </row>
    <row r="36" customFormat="false" ht="15" hidden="false" customHeight="true" outlineLevel="0" collapsed="false">
      <c r="A36" s="8" t="s">
        <v>44</v>
      </c>
      <c r="B36" s="13" t="str">
        <f aca="false">IF(COUNT(TestB!K6:K205)=0,"no data",SUM(TestB!K6:K205)/COUNT(TestB!K6:K205))</f>
        <v>no data</v>
      </c>
      <c r="I36" s="7"/>
    </row>
    <row r="37" customFormat="false" ht="15" hidden="false" customHeight="true" outlineLevel="0" collapsed="false">
      <c r="A37" s="8" t="s">
        <v>64</v>
      </c>
      <c r="B37" s="19" t="str">
        <f aca="false">IF(COUNTIFS(TestC!B6:B205,"&lt;&gt;",TestC!L6:L205,"friends &amp; family")=0,"no data",SUMIFS(TestC!H6:H205,TestC!L6:L205,"friends &amp; family")/COUNTIFS(TestC!B6:B205,"&lt;&gt;",TestC!L6:L205,"friends &amp; family"))</f>
        <v>no data</v>
      </c>
      <c r="I37" s="7"/>
    </row>
    <row r="38" customFormat="false" ht="15" hidden="false" customHeight="true" outlineLevel="0" collapsed="false">
      <c r="A38" s="11" t="s">
        <v>65</v>
      </c>
    </row>
    <row r="39" customFormat="false" ht="15" hidden="false" customHeight="true" outlineLevel="0" collapsed="false">
      <c r="A39" s="8" t="s">
        <v>66</v>
      </c>
      <c r="B39" s="16" t="str">
        <f aca="false">IF(COUNTIF(Posts!B6:B205,"A-C")=0,"no data",SUMIF(Posts!B6:B205,"A-C",Posts!G6:G205)/COUNTIF(Posts!B6:B205,"A-C"))</f>
        <v>no data</v>
      </c>
      <c r="I39" s="7" t="s">
        <v>67</v>
      </c>
    </row>
    <row r="40" customFormat="false" ht="15" hidden="false" customHeight="true" outlineLevel="0" collapsed="false">
      <c r="A40" s="8" t="s">
        <v>68</v>
      </c>
      <c r="B40" s="12" t="str">
        <f aca="false">IF(COUNTIF(Posts!B6:B205,"A-C")=0,"no data",SUMIF(Posts!B6:B205,"A-C",Posts!F6:F205)/COUNTIF(Posts!B6:B205,"A-C"))</f>
        <v>no data</v>
      </c>
      <c r="I40" s="7" t="s">
        <v>69</v>
      </c>
    </row>
    <row r="41" customFormat="false" ht="15" hidden="false" customHeight="true" outlineLevel="0" collapsed="false">
      <c r="A41" s="11" t="s">
        <v>70</v>
      </c>
    </row>
    <row r="42" customFormat="false" ht="15" hidden="false" customHeight="true" outlineLevel="0" collapsed="false">
      <c r="A42" s="8" t="s">
        <v>71</v>
      </c>
      <c r="B42" s="12" t="n">
        <f aca="false">COUNTA(Discovery!A6:A205)-COUNTIF(Discovery!B6:B205,"venue")</f>
        <v>0</v>
      </c>
      <c r="E42" s="18" t="n">
        <v>5</v>
      </c>
      <c r="F42" s="15" t="str">
        <f aca="false">IF(B42&gt;=E42,"done",E42-B42&amp;" to go")</f>
        <v>5 to go</v>
      </c>
      <c r="I42" s="7" t="s">
        <v>72</v>
      </c>
    </row>
    <row r="43" customFormat="false" ht="15" hidden="false" customHeight="true" outlineLevel="0" collapsed="false">
      <c r="A43" s="8" t="s">
        <v>73</v>
      </c>
      <c r="B43" s="12" t="n">
        <f aca="false">SUMPRODUCT((Discovery!B6:B205&lt;&gt;"venue")*(Discovery!A6:A205&lt;&gt;"")*(((Discovery!G6:G205&gt;0)+(Discovery!H6:H205&gt;0))&gt;0))</f>
        <v>0</v>
      </c>
      <c r="E43" s="18" t="n">
        <v>2</v>
      </c>
      <c r="F43" s="15" t="str">
        <f aca="false">IF(B43&gt;=E43,"PASS","not yet")</f>
        <v>not yet</v>
      </c>
      <c r="I43" s="7" t="s">
        <v>74</v>
      </c>
    </row>
    <row r="44" customFormat="false" ht="15" hidden="false" customHeight="true" outlineLevel="0" collapsed="false">
      <c r="A44" s="8" t="s">
        <v>75</v>
      </c>
      <c r="B44" s="12" t="n">
        <f aca="false">COUNTIFS(Discovery!K6:K205,"introduction",Discovery!B6:B205,"&lt;&gt;venue")+COUNTIFS(Discovery!K6:K205,"unpaid pilot",Discovery!B6:B205,"&lt;&gt;venue")</f>
        <v>0</v>
      </c>
      <c r="E44" s="18" t="n">
        <v>2</v>
      </c>
      <c r="F44" s="15" t="str">
        <f aca="false">IF(B44&gt;=E44,"PASS","not yet")</f>
        <v>not yet</v>
      </c>
      <c r="I44" s="7" t="s">
        <v>76</v>
      </c>
    </row>
    <row r="45" customFormat="false" ht="15" hidden="false" customHeight="true" outlineLevel="0" collapsed="false">
      <c r="A45" s="8" t="s">
        <v>77</v>
      </c>
      <c r="B45" s="12" t="str">
        <f aca="false">IF(COUNT(Discovery!G6:G205)=0,"no data",MEDIAN(Discovery!G6:G205))</f>
        <v>no data</v>
      </c>
      <c r="I45" s="7" t="s">
        <v>78</v>
      </c>
    </row>
    <row r="46" customFormat="false" ht="15" hidden="false" customHeight="true" outlineLevel="0" collapsed="false">
      <c r="A46" s="8" t="s">
        <v>79</v>
      </c>
      <c r="B46" s="12" t="n">
        <f aca="false">COUNTIFS(Discovery!B6:B205,"venue",Discovery!K6:K205,"&lt;&gt;none",Discovery!K6:K205,"&lt;&gt;")</f>
        <v>0</v>
      </c>
      <c r="I46" s="7" t="s">
        <v>80</v>
      </c>
    </row>
    <row r="47" customFormat="false" ht="15" hidden="false" customHeight="true" outlineLevel="0" collapsed="false">
      <c r="A47" s="11" t="s">
        <v>81</v>
      </c>
    </row>
    <row r="48" customFormat="false" ht="15" hidden="false" customHeight="true" outlineLevel="0" collapsed="false">
      <c r="A48" s="8" t="s">
        <v>82</v>
      </c>
      <c r="B48" s="20" t="str">
        <f aca="false">TestD!D12</f>
        <v>no data</v>
      </c>
      <c r="C48" s="20" t="str">
        <f aca="false">TestD!B12</f>
        <v>no data</v>
      </c>
      <c r="D48" s="20" t="str">
        <f aca="false">TestD!C12</f>
        <v>no data</v>
      </c>
      <c r="E48" s="14" t="n">
        <v>0.1</v>
      </c>
      <c r="F48" s="15" t="str">
        <f aca="false">IF(ISNUMBER(B48),IF(B48&gt;=E48,"PASS","FAIL"),"no data")</f>
        <v>no data</v>
      </c>
      <c r="G48" s="13" t="str">
        <f aca="false">IF(ISNUMBER(B48),((B48+$B$3^2/(2*TestD!D5))-$B$3*SQRT(B48*(1-B48)/TestD!D5+$B$3^2/(4*TestD!D5^2)))/(1+$B$3^2/TestD!D5),"")</f>
        <v/>
      </c>
      <c r="H48" s="13" t="str">
        <f aca="false">IF(ISNUMBER(B48),((B48+$B$3^2/(2*TestD!D5))+$B$3*SQRT(B48*(1-B48)/TestD!D5+$B$3^2/(4*TestD!D5^2)))/(1+$B$3^2/TestD!D5),"")</f>
        <v/>
      </c>
      <c r="I48" s="7" t="s">
        <v>83</v>
      </c>
    </row>
    <row r="49" customFormat="false" ht="15" hidden="false" customHeight="true" outlineLevel="0" collapsed="false">
      <c r="A49" s="8" t="s">
        <v>84</v>
      </c>
      <c r="B49" s="20" t="str">
        <f aca="false">TestD!D13</f>
        <v>no data</v>
      </c>
      <c r="C49" s="20" t="str">
        <f aca="false">TestD!B13</f>
        <v>no data</v>
      </c>
      <c r="D49" s="20" t="str">
        <f aca="false">TestD!C13</f>
        <v>no data</v>
      </c>
      <c r="E49" s="14" t="n">
        <v>0.2</v>
      </c>
      <c r="F49" s="15" t="str">
        <f aca="false">IF(ISNUMBER(B49),IF(B49&gt;=E49,"PASS","FAIL"),"no data")</f>
        <v>no data</v>
      </c>
      <c r="G49" s="13" t="str">
        <f aca="false">IF(ISNUMBER(B49),((B49+$B$3^2/(2*TestD!D10))-$B$3*SQRT(B49*(1-B49)/TestD!D10+$B$3^2/(4*TestD!D10^2)))/(1+$B$3^2/TestD!D10),"")</f>
        <v/>
      </c>
      <c r="H49" s="13" t="str">
        <f aca="false">IF(ISNUMBER(B49),((B49+$B$3^2/(2*TestD!D10))+$B$3*SQRT(B49*(1-B49)/TestD!D10+$B$3^2/(4*TestD!D10^2)))/(1+$B$3^2/TestD!D10),"")</f>
        <v/>
      </c>
      <c r="I49" s="7" t="s">
        <v>85</v>
      </c>
    </row>
    <row r="50" customFormat="false" ht="15" hidden="false" customHeight="true" outlineLevel="0" collapsed="false">
      <c r="A50" s="8" t="s">
        <v>86</v>
      </c>
      <c r="B50" s="20" t="str">
        <f aca="false">TestD!D14</f>
        <v>no data</v>
      </c>
      <c r="C50" s="20" t="str">
        <f aca="false">TestD!B14</f>
        <v>no data</v>
      </c>
      <c r="D50" s="20" t="str">
        <f aca="false">TestD!C14</f>
        <v>no data</v>
      </c>
      <c r="I5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0"/>
    <col collapsed="false" customWidth="true" hidden="false" outlineLevel="0" max="3" min="3" style="1" width="9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9" min="9" style="1" width="11"/>
    <col collapsed="false" customWidth="true" hidden="false" outlineLevel="0" max="10" min="10" style="1" width="9"/>
    <col collapsed="false" customWidth="true" hidden="false" outlineLevel="0" max="11" min="11" style="1" width="12"/>
    <col collapsed="false" customWidth="true" hidden="false" outlineLevel="0" max="13" min="12" style="1" width="11"/>
    <col collapsed="false" customWidth="true" hidden="false" outlineLevel="0" max="14" min="14" style="1" width="30"/>
    <col collapsed="false" customWidth="true" hidden="false" outlineLevel="0" max="16" min="15" style="1" width="10"/>
    <col collapsed="false" customWidth="true" hidden="false" outlineLevel="0" max="17" min="17" style="1" width="13"/>
    <col collapsed="false" customWidth="true" hidden="false" outlineLevel="0" max="18" min="18" style="1" width="22"/>
    <col collapsed="false" customWidth="true" hidden="false" outlineLevel="0" max="19" min="19" style="1" width="24"/>
    <col collapsed="false" customWidth="true" hidden="false" outlineLevel="0" max="20" min="20" style="1" width="16"/>
    <col collapsed="false" customWidth="true" hidden="false" outlineLevel="0" max="32" min="21" style="1" width="11"/>
    <col collapsed="false" customWidth="true" hidden="false" outlineLevel="0" max="33" min="33" style="1" width="24"/>
  </cols>
  <sheetData>
    <row r="1" customFormat="false" ht="17.25" hidden="false" customHeight="true" outlineLevel="0" collapsed="false">
      <c r="A1" s="6" t="s">
        <v>87</v>
      </c>
    </row>
    <row r="2" customFormat="false" ht="15" hidden="false" customHeight="true" outlineLevel="0" collapsed="false">
      <c r="A2" s="7" t="s">
        <v>88</v>
      </c>
    </row>
    <row r="3" customFormat="false" ht="15" hidden="false" customHeight="true" outlineLevel="0" collapsed="false">
      <c r="A3" s="21" t="s">
        <v>89</v>
      </c>
    </row>
    <row r="4" customFormat="false" ht="15" hidden="false" customHeight="true" outlineLevel="0" collapsed="false">
      <c r="A4" s="22" t="s">
        <v>90</v>
      </c>
      <c r="B4" s="22" t="s">
        <v>91</v>
      </c>
      <c r="C4" s="22" t="s">
        <v>92</v>
      </c>
      <c r="D4" s="22" t="s">
        <v>93</v>
      </c>
      <c r="E4" s="22" t="s">
        <v>94</v>
      </c>
      <c r="F4" s="22" t="s">
        <v>95</v>
      </c>
      <c r="G4" s="22" t="s">
        <v>96</v>
      </c>
      <c r="H4" s="22" t="s">
        <v>97</v>
      </c>
      <c r="I4" s="22" t="s">
        <v>95</v>
      </c>
      <c r="J4" s="22" t="n">
        <v>26</v>
      </c>
      <c r="K4" s="22"/>
      <c r="L4" s="22" t="n">
        <v>4</v>
      </c>
      <c r="M4" s="22" t="n">
        <v>5</v>
      </c>
      <c r="N4" s="22" t="s">
        <v>98</v>
      </c>
      <c r="O4" s="22" t="n">
        <v>4</v>
      </c>
      <c r="P4" s="22" t="n">
        <v>3</v>
      </c>
      <c r="Q4" s="22" t="s">
        <v>99</v>
      </c>
      <c r="R4" s="22" t="s">
        <v>100</v>
      </c>
      <c r="S4" s="22" t="s">
        <v>101</v>
      </c>
      <c r="T4" s="22" t="s">
        <v>102</v>
      </c>
      <c r="AG4" s="22" t="s">
        <v>103</v>
      </c>
    </row>
    <row r="5" customFormat="false" ht="42" hidden="false" customHeight="true" outlineLevel="0" collapsed="false">
      <c r="A5" s="23" t="s">
        <v>104</v>
      </c>
      <c r="B5" s="23" t="s">
        <v>105</v>
      </c>
      <c r="C5" s="23" t="s">
        <v>106</v>
      </c>
      <c r="D5" s="23" t="s">
        <v>107</v>
      </c>
      <c r="E5" s="23" t="s">
        <v>108</v>
      </c>
      <c r="F5" s="23" t="s">
        <v>109</v>
      </c>
      <c r="G5" s="23" t="s">
        <v>110</v>
      </c>
      <c r="H5" s="23" t="s">
        <v>111</v>
      </c>
      <c r="I5" s="23" t="s">
        <v>112</v>
      </c>
      <c r="J5" s="23" t="s">
        <v>113</v>
      </c>
      <c r="K5" s="23" t="s">
        <v>114</v>
      </c>
      <c r="L5" s="23" t="s">
        <v>115</v>
      </c>
      <c r="M5" s="23" t="s">
        <v>116</v>
      </c>
      <c r="N5" s="23" t="s">
        <v>117</v>
      </c>
      <c r="O5" s="23" t="s">
        <v>118</v>
      </c>
      <c r="P5" s="23" t="s">
        <v>119</v>
      </c>
      <c r="Q5" s="23" t="s">
        <v>120</v>
      </c>
      <c r="R5" s="23" t="s">
        <v>121</v>
      </c>
      <c r="S5" s="23" t="s">
        <v>122</v>
      </c>
      <c r="T5" s="23" t="s">
        <v>123</v>
      </c>
      <c r="U5" s="24" t="s">
        <v>124</v>
      </c>
      <c r="V5" s="24" t="s">
        <v>125</v>
      </c>
      <c r="W5" s="24" t="s">
        <v>126</v>
      </c>
      <c r="X5" s="24" t="s">
        <v>127</v>
      </c>
      <c r="Y5" s="24" t="s">
        <v>128</v>
      </c>
      <c r="Z5" s="24" t="s">
        <v>129</v>
      </c>
      <c r="AA5" s="24" t="s">
        <v>130</v>
      </c>
      <c r="AB5" s="24" t="s">
        <v>131</v>
      </c>
      <c r="AC5" s="24" t="s">
        <v>132</v>
      </c>
      <c r="AD5" s="24" t="s">
        <v>133</v>
      </c>
      <c r="AE5" s="24" t="s">
        <v>134</v>
      </c>
      <c r="AF5" s="24" t="s">
        <v>135</v>
      </c>
      <c r="AG5" s="23" t="s">
        <v>136</v>
      </c>
    </row>
    <row r="6" customFormat="false" ht="15" hidden="false" customHeight="true" outlineLevel="0" collapsed="false">
      <c r="A6" s="9" t="s">
        <v>137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25" t="str">
        <f aca="false">IF(AND(T6="stranger",ISNUMBER(L6)),L6,"")</f>
        <v/>
      </c>
      <c r="V6" s="25" t="str">
        <f aca="false">IF(AND(T6="stranger",H6="voice",ISNUMBER(L6)),L6,"")</f>
        <v/>
      </c>
      <c r="W6" s="25" t="str">
        <f aca="false">IF(AND(T6="stranger",H6="text",ISNUMBER(L6)),L6,"")</f>
        <v/>
      </c>
      <c r="X6" s="25" t="str">
        <f aca="false">IF(AND(T6="stranger",ISNUMBER(M6)),M6,"")</f>
        <v/>
      </c>
      <c r="Y6" s="25" t="str">
        <f aca="false">IF(AND(T6="stranger",H6="voice",ISNUMBER(M6)),M6,"")</f>
        <v/>
      </c>
      <c r="Z6" s="25" t="str">
        <f aca="false">IF(AND(T6="stranger",H6="text",ISNUMBER(M6)),M6,"")</f>
        <v/>
      </c>
      <c r="AA6" s="25" t="str">
        <f aca="false">IF(AND(T6="stranger",ISNUMBER(J6)),J6,"")</f>
        <v/>
      </c>
      <c r="AB6" s="25" t="str">
        <f aca="false">IF(AND(T6="stranger",H6="voice",ISNUMBER(J6)),J6,"")</f>
        <v/>
      </c>
      <c r="AC6" s="25" t="str">
        <f aca="false">IF(AND(T6="stranger",H6="text",ISNUMBER(J6)),J6,"")</f>
        <v/>
      </c>
      <c r="AD6" s="25" t="str">
        <f aca="false">IF(AND(T6="stranger",ISNUMBER(O6)),O6,"")</f>
        <v/>
      </c>
      <c r="AE6" s="25" t="str">
        <f aca="false">IF(AND(T6="stranger",ISNUMBER(P6)),P6,"")</f>
        <v/>
      </c>
      <c r="AF6" s="25" t="str">
        <f aca="false">IF(AND(T6="friends &amp; family",ISNUMBER(L6)),L6,"")</f>
        <v/>
      </c>
      <c r="AG6" s="9"/>
    </row>
    <row r="7" customFormat="false" ht="15" hidden="false" customHeight="true" outlineLevel="0" collapsed="false">
      <c r="A7" s="9" t="s">
        <v>138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25" t="str">
        <f aca="false">IF(AND(T7="stranger",ISNUMBER(L7)),L7,"")</f>
        <v/>
      </c>
      <c r="V7" s="25" t="str">
        <f aca="false">IF(AND(T7="stranger",H7="voice",ISNUMBER(L7)),L7,"")</f>
        <v/>
      </c>
      <c r="W7" s="25" t="str">
        <f aca="false">IF(AND(T7="stranger",H7="text",ISNUMBER(L7)),L7,"")</f>
        <v/>
      </c>
      <c r="X7" s="25" t="str">
        <f aca="false">IF(AND(T7="stranger",ISNUMBER(M7)),M7,"")</f>
        <v/>
      </c>
      <c r="Y7" s="25" t="str">
        <f aca="false">IF(AND(T7="stranger",H7="voice",ISNUMBER(M7)),M7,"")</f>
        <v/>
      </c>
      <c r="Z7" s="25" t="str">
        <f aca="false">IF(AND(T7="stranger",H7="text",ISNUMBER(M7)),M7,"")</f>
        <v/>
      </c>
      <c r="AA7" s="25" t="str">
        <f aca="false">IF(AND(T7="stranger",ISNUMBER(J7)),J7,"")</f>
        <v/>
      </c>
      <c r="AB7" s="25" t="str">
        <f aca="false">IF(AND(T7="stranger",H7="voice",ISNUMBER(J7)),J7,"")</f>
        <v/>
      </c>
      <c r="AC7" s="25" t="str">
        <f aca="false">IF(AND(T7="stranger",H7="text",ISNUMBER(J7)),J7,"")</f>
        <v/>
      </c>
      <c r="AD7" s="25" t="str">
        <f aca="false">IF(AND(T7="stranger",ISNUMBER(O7)),O7,"")</f>
        <v/>
      </c>
      <c r="AE7" s="25" t="str">
        <f aca="false">IF(AND(T7="stranger",ISNUMBER(P7)),P7,"")</f>
        <v/>
      </c>
      <c r="AF7" s="25" t="str">
        <f aca="false">IF(AND(T7="friends &amp; family",ISNUMBER(L7)),L7,"")</f>
        <v/>
      </c>
      <c r="AG7" s="9"/>
    </row>
    <row r="8" customFormat="false" ht="15" hidden="false" customHeight="true" outlineLevel="0" collapsed="false">
      <c r="A8" s="9" t="s">
        <v>139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25" t="str">
        <f aca="false">IF(AND(T8="stranger",ISNUMBER(L8)),L8,"")</f>
        <v/>
      </c>
      <c r="V8" s="25" t="str">
        <f aca="false">IF(AND(T8="stranger",H8="voice",ISNUMBER(L8)),L8,"")</f>
        <v/>
      </c>
      <c r="W8" s="25" t="str">
        <f aca="false">IF(AND(T8="stranger",H8="text",ISNUMBER(L8)),L8,"")</f>
        <v/>
      </c>
      <c r="X8" s="25" t="str">
        <f aca="false">IF(AND(T8="stranger",ISNUMBER(M8)),M8,"")</f>
        <v/>
      </c>
      <c r="Y8" s="25" t="str">
        <f aca="false">IF(AND(T8="stranger",H8="voice",ISNUMBER(M8)),M8,"")</f>
        <v/>
      </c>
      <c r="Z8" s="25" t="str">
        <f aca="false">IF(AND(T8="stranger",H8="text",ISNUMBER(M8)),M8,"")</f>
        <v/>
      </c>
      <c r="AA8" s="25" t="str">
        <f aca="false">IF(AND(T8="stranger",ISNUMBER(J8)),J8,"")</f>
        <v/>
      </c>
      <c r="AB8" s="25" t="str">
        <f aca="false">IF(AND(T8="stranger",H8="voice",ISNUMBER(J8)),J8,"")</f>
        <v/>
      </c>
      <c r="AC8" s="25" t="str">
        <f aca="false">IF(AND(T8="stranger",H8="text",ISNUMBER(J8)),J8,"")</f>
        <v/>
      </c>
      <c r="AD8" s="25" t="str">
        <f aca="false">IF(AND(T8="stranger",ISNUMBER(O8)),O8,"")</f>
        <v/>
      </c>
      <c r="AE8" s="25" t="str">
        <f aca="false">IF(AND(T8="stranger",ISNUMBER(P8)),P8,"")</f>
        <v/>
      </c>
      <c r="AF8" s="25" t="str">
        <f aca="false">IF(AND(T8="friends &amp; family",ISNUMBER(L8)),L8,"")</f>
        <v/>
      </c>
      <c r="AG8" s="9"/>
    </row>
    <row r="9" customFormat="false" ht="15" hidden="false" customHeight="true" outlineLevel="0" collapsed="false">
      <c r="A9" s="9" t="s">
        <v>140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25" t="str">
        <f aca="false">IF(AND(T9="stranger",ISNUMBER(L9)),L9,"")</f>
        <v/>
      </c>
      <c r="V9" s="25" t="str">
        <f aca="false">IF(AND(T9="stranger",H9="voice",ISNUMBER(L9)),L9,"")</f>
        <v/>
      </c>
      <c r="W9" s="25" t="str">
        <f aca="false">IF(AND(T9="stranger",H9="text",ISNUMBER(L9)),L9,"")</f>
        <v/>
      </c>
      <c r="X9" s="25" t="str">
        <f aca="false">IF(AND(T9="stranger",ISNUMBER(M9)),M9,"")</f>
        <v/>
      </c>
      <c r="Y9" s="25" t="str">
        <f aca="false">IF(AND(T9="stranger",H9="voice",ISNUMBER(M9)),M9,"")</f>
        <v/>
      </c>
      <c r="Z9" s="25" t="str">
        <f aca="false">IF(AND(T9="stranger",H9="text",ISNUMBER(M9)),M9,"")</f>
        <v/>
      </c>
      <c r="AA9" s="25" t="str">
        <f aca="false">IF(AND(T9="stranger",ISNUMBER(J9)),J9,"")</f>
        <v/>
      </c>
      <c r="AB9" s="25" t="str">
        <f aca="false">IF(AND(T9="stranger",H9="voice",ISNUMBER(J9)),J9,"")</f>
        <v/>
      </c>
      <c r="AC9" s="25" t="str">
        <f aca="false">IF(AND(T9="stranger",H9="text",ISNUMBER(J9)),J9,"")</f>
        <v/>
      </c>
      <c r="AD9" s="25" t="str">
        <f aca="false">IF(AND(T9="stranger",ISNUMBER(O9)),O9,"")</f>
        <v/>
      </c>
      <c r="AE9" s="25" t="str">
        <f aca="false">IF(AND(T9="stranger",ISNUMBER(P9)),P9,"")</f>
        <v/>
      </c>
      <c r="AF9" s="25" t="str">
        <f aca="false">IF(AND(T9="friends &amp; family",ISNUMBER(L9)),L9,"")</f>
        <v/>
      </c>
      <c r="AG9" s="9"/>
    </row>
    <row r="10" customFormat="false" ht="15" hidden="false" customHeight="true" outlineLevel="0" collapsed="false">
      <c r="A10" s="9" t="s">
        <v>141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25" t="str">
        <f aca="false">IF(AND(T10="stranger",ISNUMBER(L10)),L10,"")</f>
        <v/>
      </c>
      <c r="V10" s="25" t="str">
        <f aca="false">IF(AND(T10="stranger",H10="voice",ISNUMBER(L10)),L10,"")</f>
        <v/>
      </c>
      <c r="W10" s="25" t="str">
        <f aca="false">IF(AND(T10="stranger",H10="text",ISNUMBER(L10)),L10,"")</f>
        <v/>
      </c>
      <c r="X10" s="25" t="str">
        <f aca="false">IF(AND(T10="stranger",ISNUMBER(M10)),M10,"")</f>
        <v/>
      </c>
      <c r="Y10" s="25" t="str">
        <f aca="false">IF(AND(T10="stranger",H10="voice",ISNUMBER(M10)),M10,"")</f>
        <v/>
      </c>
      <c r="Z10" s="25" t="str">
        <f aca="false">IF(AND(T10="stranger",H10="text",ISNUMBER(M10)),M10,"")</f>
        <v/>
      </c>
      <c r="AA10" s="25" t="str">
        <f aca="false">IF(AND(T10="stranger",ISNUMBER(J10)),J10,"")</f>
        <v/>
      </c>
      <c r="AB10" s="25" t="str">
        <f aca="false">IF(AND(T10="stranger",H10="voice",ISNUMBER(J10)),J10,"")</f>
        <v/>
      </c>
      <c r="AC10" s="25" t="str">
        <f aca="false">IF(AND(T10="stranger",H10="text",ISNUMBER(J10)),J10,"")</f>
        <v/>
      </c>
      <c r="AD10" s="25" t="str">
        <f aca="false">IF(AND(T10="stranger",ISNUMBER(O10)),O10,"")</f>
        <v/>
      </c>
      <c r="AE10" s="25" t="str">
        <f aca="false">IF(AND(T10="stranger",ISNUMBER(P10)),P10,"")</f>
        <v/>
      </c>
      <c r="AF10" s="25" t="str">
        <f aca="false">IF(AND(T10="friends &amp; family",ISNUMBER(L10)),L10,"")</f>
        <v/>
      </c>
      <c r="AG10" s="9"/>
    </row>
    <row r="11" customFormat="false" ht="15" hidden="false" customHeight="true" outlineLevel="0" collapsed="false">
      <c r="A11" s="9" t="s">
        <v>142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25" t="str">
        <f aca="false">IF(AND(T11="stranger",ISNUMBER(L11)),L11,"")</f>
        <v/>
      </c>
      <c r="V11" s="25" t="str">
        <f aca="false">IF(AND(T11="stranger",H11="voice",ISNUMBER(L11)),L11,"")</f>
        <v/>
      </c>
      <c r="W11" s="25" t="str">
        <f aca="false">IF(AND(T11="stranger",H11="text",ISNUMBER(L11)),L11,"")</f>
        <v/>
      </c>
      <c r="X11" s="25" t="str">
        <f aca="false">IF(AND(T11="stranger",ISNUMBER(M11)),M11,"")</f>
        <v/>
      </c>
      <c r="Y11" s="25" t="str">
        <f aca="false">IF(AND(T11="stranger",H11="voice",ISNUMBER(M11)),M11,"")</f>
        <v/>
      </c>
      <c r="Z11" s="25" t="str">
        <f aca="false">IF(AND(T11="stranger",H11="text",ISNUMBER(M11)),M11,"")</f>
        <v/>
      </c>
      <c r="AA11" s="25" t="str">
        <f aca="false">IF(AND(T11="stranger",ISNUMBER(J11)),J11,"")</f>
        <v/>
      </c>
      <c r="AB11" s="25" t="str">
        <f aca="false">IF(AND(T11="stranger",H11="voice",ISNUMBER(J11)),J11,"")</f>
        <v/>
      </c>
      <c r="AC11" s="25" t="str">
        <f aca="false">IF(AND(T11="stranger",H11="text",ISNUMBER(J11)),J11,"")</f>
        <v/>
      </c>
      <c r="AD11" s="25" t="str">
        <f aca="false">IF(AND(T11="stranger",ISNUMBER(O11)),O11,"")</f>
        <v/>
      </c>
      <c r="AE11" s="25" t="str">
        <f aca="false">IF(AND(T11="stranger",ISNUMBER(P11)),P11,"")</f>
        <v/>
      </c>
      <c r="AF11" s="25" t="str">
        <f aca="false">IF(AND(T11="friends &amp; family",ISNUMBER(L11)),L11,"")</f>
        <v/>
      </c>
      <c r="AG11" s="9"/>
    </row>
    <row r="12" customFormat="false" ht="15" hidden="false" customHeight="true" outlineLevel="0" collapsed="false">
      <c r="A12" s="9" t="s">
        <v>143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25" t="str">
        <f aca="false">IF(AND(T12="stranger",ISNUMBER(L12)),L12,"")</f>
        <v/>
      </c>
      <c r="V12" s="25" t="str">
        <f aca="false">IF(AND(T12="stranger",H12="voice",ISNUMBER(L12)),L12,"")</f>
        <v/>
      </c>
      <c r="W12" s="25" t="str">
        <f aca="false">IF(AND(T12="stranger",H12="text",ISNUMBER(L12)),L12,"")</f>
        <v/>
      </c>
      <c r="X12" s="25" t="str">
        <f aca="false">IF(AND(T12="stranger",ISNUMBER(M12)),M12,"")</f>
        <v/>
      </c>
      <c r="Y12" s="25" t="str">
        <f aca="false">IF(AND(T12="stranger",H12="voice",ISNUMBER(M12)),M12,"")</f>
        <v/>
      </c>
      <c r="Z12" s="25" t="str">
        <f aca="false">IF(AND(T12="stranger",H12="text",ISNUMBER(M12)),M12,"")</f>
        <v/>
      </c>
      <c r="AA12" s="25" t="str">
        <f aca="false">IF(AND(T12="stranger",ISNUMBER(J12)),J12,"")</f>
        <v/>
      </c>
      <c r="AB12" s="25" t="str">
        <f aca="false">IF(AND(T12="stranger",H12="voice",ISNUMBER(J12)),J12,"")</f>
        <v/>
      </c>
      <c r="AC12" s="25" t="str">
        <f aca="false">IF(AND(T12="stranger",H12="text",ISNUMBER(J12)),J12,"")</f>
        <v/>
      </c>
      <c r="AD12" s="25" t="str">
        <f aca="false">IF(AND(T12="stranger",ISNUMBER(O12)),O12,"")</f>
        <v/>
      </c>
      <c r="AE12" s="25" t="str">
        <f aca="false">IF(AND(T12="stranger",ISNUMBER(P12)),P12,"")</f>
        <v/>
      </c>
      <c r="AF12" s="25" t="str">
        <f aca="false">IF(AND(T12="friends &amp; family",ISNUMBER(L12)),L12,"")</f>
        <v/>
      </c>
      <c r="AG12" s="9"/>
    </row>
    <row r="13" customFormat="false" ht="15" hidden="false" customHeight="true" outlineLevel="0" collapsed="false">
      <c r="A13" s="9" t="s">
        <v>144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25" t="str">
        <f aca="false">IF(AND(T13="stranger",ISNUMBER(L13)),L13,"")</f>
        <v/>
      </c>
      <c r="V13" s="25" t="str">
        <f aca="false">IF(AND(T13="stranger",H13="voice",ISNUMBER(L13)),L13,"")</f>
        <v/>
      </c>
      <c r="W13" s="25" t="str">
        <f aca="false">IF(AND(T13="stranger",H13="text",ISNUMBER(L13)),L13,"")</f>
        <v/>
      </c>
      <c r="X13" s="25" t="str">
        <f aca="false">IF(AND(T13="stranger",ISNUMBER(M13)),M13,"")</f>
        <v/>
      </c>
      <c r="Y13" s="25" t="str">
        <f aca="false">IF(AND(T13="stranger",H13="voice",ISNUMBER(M13)),M13,"")</f>
        <v/>
      </c>
      <c r="Z13" s="25" t="str">
        <f aca="false">IF(AND(T13="stranger",H13="text",ISNUMBER(M13)),M13,"")</f>
        <v/>
      </c>
      <c r="AA13" s="25" t="str">
        <f aca="false">IF(AND(T13="stranger",ISNUMBER(J13)),J13,"")</f>
        <v/>
      </c>
      <c r="AB13" s="25" t="str">
        <f aca="false">IF(AND(T13="stranger",H13="voice",ISNUMBER(J13)),J13,"")</f>
        <v/>
      </c>
      <c r="AC13" s="25" t="str">
        <f aca="false">IF(AND(T13="stranger",H13="text",ISNUMBER(J13)),J13,"")</f>
        <v/>
      </c>
      <c r="AD13" s="25" t="str">
        <f aca="false">IF(AND(T13="stranger",ISNUMBER(O13)),O13,"")</f>
        <v/>
      </c>
      <c r="AE13" s="25" t="str">
        <f aca="false">IF(AND(T13="stranger",ISNUMBER(P13)),P13,"")</f>
        <v/>
      </c>
      <c r="AF13" s="25" t="str">
        <f aca="false">IF(AND(T13="friends &amp; family",ISNUMBER(L13)),L13,"")</f>
        <v/>
      </c>
      <c r="AG13" s="9"/>
    </row>
    <row r="14" customFormat="false" ht="15" hidden="false" customHeight="true" outlineLevel="0" collapsed="false">
      <c r="A14" s="9" t="s">
        <v>145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25" t="str">
        <f aca="false">IF(AND(T14="stranger",ISNUMBER(L14)),L14,"")</f>
        <v/>
      </c>
      <c r="V14" s="25" t="str">
        <f aca="false">IF(AND(T14="stranger",H14="voice",ISNUMBER(L14)),L14,"")</f>
        <v/>
      </c>
      <c r="W14" s="25" t="str">
        <f aca="false">IF(AND(T14="stranger",H14="text",ISNUMBER(L14)),L14,"")</f>
        <v/>
      </c>
      <c r="X14" s="25" t="str">
        <f aca="false">IF(AND(T14="stranger",ISNUMBER(M14)),M14,"")</f>
        <v/>
      </c>
      <c r="Y14" s="25" t="str">
        <f aca="false">IF(AND(T14="stranger",H14="voice",ISNUMBER(M14)),M14,"")</f>
        <v/>
      </c>
      <c r="Z14" s="25" t="str">
        <f aca="false">IF(AND(T14="stranger",H14="text",ISNUMBER(M14)),M14,"")</f>
        <v/>
      </c>
      <c r="AA14" s="25" t="str">
        <f aca="false">IF(AND(T14="stranger",ISNUMBER(J14)),J14,"")</f>
        <v/>
      </c>
      <c r="AB14" s="25" t="str">
        <f aca="false">IF(AND(T14="stranger",H14="voice",ISNUMBER(J14)),J14,"")</f>
        <v/>
      </c>
      <c r="AC14" s="25" t="str">
        <f aca="false">IF(AND(T14="stranger",H14="text",ISNUMBER(J14)),J14,"")</f>
        <v/>
      </c>
      <c r="AD14" s="25" t="str">
        <f aca="false">IF(AND(T14="stranger",ISNUMBER(O14)),O14,"")</f>
        <v/>
      </c>
      <c r="AE14" s="25" t="str">
        <f aca="false">IF(AND(T14="stranger",ISNUMBER(P14)),P14,"")</f>
        <v/>
      </c>
      <c r="AF14" s="25" t="str">
        <f aca="false">IF(AND(T14="friends &amp; family",ISNUMBER(L14)),L14,"")</f>
        <v/>
      </c>
      <c r="AG14" s="9"/>
    </row>
    <row r="15" customFormat="false" ht="15" hidden="false" customHeight="true" outlineLevel="0" collapsed="false">
      <c r="A15" s="9" t="s">
        <v>146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25" t="str">
        <f aca="false">IF(AND(T15="stranger",ISNUMBER(L15)),L15,"")</f>
        <v/>
      </c>
      <c r="V15" s="25" t="str">
        <f aca="false">IF(AND(T15="stranger",H15="voice",ISNUMBER(L15)),L15,"")</f>
        <v/>
      </c>
      <c r="W15" s="25" t="str">
        <f aca="false">IF(AND(T15="stranger",H15="text",ISNUMBER(L15)),L15,"")</f>
        <v/>
      </c>
      <c r="X15" s="25" t="str">
        <f aca="false">IF(AND(T15="stranger",ISNUMBER(M15)),M15,"")</f>
        <v/>
      </c>
      <c r="Y15" s="25" t="str">
        <f aca="false">IF(AND(T15="stranger",H15="voice",ISNUMBER(M15)),M15,"")</f>
        <v/>
      </c>
      <c r="Z15" s="25" t="str">
        <f aca="false">IF(AND(T15="stranger",H15="text",ISNUMBER(M15)),M15,"")</f>
        <v/>
      </c>
      <c r="AA15" s="25" t="str">
        <f aca="false">IF(AND(T15="stranger",ISNUMBER(J15)),J15,"")</f>
        <v/>
      </c>
      <c r="AB15" s="25" t="str">
        <f aca="false">IF(AND(T15="stranger",H15="voice",ISNUMBER(J15)),J15,"")</f>
        <v/>
      </c>
      <c r="AC15" s="25" t="str">
        <f aca="false">IF(AND(T15="stranger",H15="text",ISNUMBER(J15)),J15,"")</f>
        <v/>
      </c>
      <c r="AD15" s="25" t="str">
        <f aca="false">IF(AND(T15="stranger",ISNUMBER(O15)),O15,"")</f>
        <v/>
      </c>
      <c r="AE15" s="25" t="str">
        <f aca="false">IF(AND(T15="stranger",ISNUMBER(P15)),P15,"")</f>
        <v/>
      </c>
      <c r="AF15" s="25" t="str">
        <f aca="false">IF(AND(T15="friends &amp; family",ISNUMBER(L15)),L15,"")</f>
        <v/>
      </c>
      <c r="AG15" s="9"/>
    </row>
    <row r="16" customFormat="false" ht="15" hidden="false" customHeight="true" outlineLevel="0" collapsed="false">
      <c r="A16" s="9" t="s">
        <v>147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25" t="str">
        <f aca="false">IF(AND(T16="stranger",ISNUMBER(L16)),L16,"")</f>
        <v/>
      </c>
      <c r="V16" s="25" t="str">
        <f aca="false">IF(AND(T16="stranger",H16="voice",ISNUMBER(L16)),L16,"")</f>
        <v/>
      </c>
      <c r="W16" s="25" t="str">
        <f aca="false">IF(AND(T16="stranger",H16="text",ISNUMBER(L16)),L16,"")</f>
        <v/>
      </c>
      <c r="X16" s="25" t="str">
        <f aca="false">IF(AND(T16="stranger",ISNUMBER(M16)),M16,"")</f>
        <v/>
      </c>
      <c r="Y16" s="25" t="str">
        <f aca="false">IF(AND(T16="stranger",H16="voice",ISNUMBER(M16)),M16,"")</f>
        <v/>
      </c>
      <c r="Z16" s="25" t="str">
        <f aca="false">IF(AND(T16="stranger",H16="text",ISNUMBER(M16)),M16,"")</f>
        <v/>
      </c>
      <c r="AA16" s="25" t="str">
        <f aca="false">IF(AND(T16="stranger",ISNUMBER(J16)),J16,"")</f>
        <v/>
      </c>
      <c r="AB16" s="25" t="str">
        <f aca="false">IF(AND(T16="stranger",H16="voice",ISNUMBER(J16)),J16,"")</f>
        <v/>
      </c>
      <c r="AC16" s="25" t="str">
        <f aca="false">IF(AND(T16="stranger",H16="text",ISNUMBER(J16)),J16,"")</f>
        <v/>
      </c>
      <c r="AD16" s="25" t="str">
        <f aca="false">IF(AND(T16="stranger",ISNUMBER(O16)),O16,"")</f>
        <v/>
      </c>
      <c r="AE16" s="25" t="str">
        <f aca="false">IF(AND(T16="stranger",ISNUMBER(P16)),P16,"")</f>
        <v/>
      </c>
      <c r="AF16" s="25" t="str">
        <f aca="false">IF(AND(T16="friends &amp; family",ISNUMBER(L16)),L16,"")</f>
        <v/>
      </c>
      <c r="AG16" s="9"/>
    </row>
    <row r="17" customFormat="false" ht="15" hidden="false" customHeight="true" outlineLevel="0" collapsed="false">
      <c r="A17" s="9" t="s">
        <v>148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25" t="str">
        <f aca="false">IF(AND(T17="stranger",ISNUMBER(L17)),L17,"")</f>
        <v/>
      </c>
      <c r="V17" s="25" t="str">
        <f aca="false">IF(AND(T17="stranger",H17="voice",ISNUMBER(L17)),L17,"")</f>
        <v/>
      </c>
      <c r="W17" s="25" t="str">
        <f aca="false">IF(AND(T17="stranger",H17="text",ISNUMBER(L17)),L17,"")</f>
        <v/>
      </c>
      <c r="X17" s="25" t="str">
        <f aca="false">IF(AND(T17="stranger",ISNUMBER(M17)),M17,"")</f>
        <v/>
      </c>
      <c r="Y17" s="25" t="str">
        <f aca="false">IF(AND(T17="stranger",H17="voice",ISNUMBER(M17)),M17,"")</f>
        <v/>
      </c>
      <c r="Z17" s="25" t="str">
        <f aca="false">IF(AND(T17="stranger",H17="text",ISNUMBER(M17)),M17,"")</f>
        <v/>
      </c>
      <c r="AA17" s="25" t="str">
        <f aca="false">IF(AND(T17="stranger",ISNUMBER(J17)),J17,"")</f>
        <v/>
      </c>
      <c r="AB17" s="25" t="str">
        <f aca="false">IF(AND(T17="stranger",H17="voice",ISNUMBER(J17)),J17,"")</f>
        <v/>
      </c>
      <c r="AC17" s="25" t="str">
        <f aca="false">IF(AND(T17="stranger",H17="text",ISNUMBER(J17)),J17,"")</f>
        <v/>
      </c>
      <c r="AD17" s="25" t="str">
        <f aca="false">IF(AND(T17="stranger",ISNUMBER(O17)),O17,"")</f>
        <v/>
      </c>
      <c r="AE17" s="25" t="str">
        <f aca="false">IF(AND(T17="stranger",ISNUMBER(P17)),P17,"")</f>
        <v/>
      </c>
      <c r="AF17" s="25" t="str">
        <f aca="false">IF(AND(T17="friends &amp; family",ISNUMBER(L17)),L17,"")</f>
        <v/>
      </c>
      <c r="AG17" s="9"/>
    </row>
    <row r="18" customFormat="false" ht="15" hidden="false" customHeight="true" outlineLevel="0" collapsed="false">
      <c r="A18" s="9" t="s">
        <v>149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25" t="str">
        <f aca="false">IF(AND(T18="stranger",ISNUMBER(L18)),L18,"")</f>
        <v/>
      </c>
      <c r="V18" s="25" t="str">
        <f aca="false">IF(AND(T18="stranger",H18="voice",ISNUMBER(L18)),L18,"")</f>
        <v/>
      </c>
      <c r="W18" s="25" t="str">
        <f aca="false">IF(AND(T18="stranger",H18="text",ISNUMBER(L18)),L18,"")</f>
        <v/>
      </c>
      <c r="X18" s="25" t="str">
        <f aca="false">IF(AND(T18="stranger",ISNUMBER(M18)),M18,"")</f>
        <v/>
      </c>
      <c r="Y18" s="25" t="str">
        <f aca="false">IF(AND(T18="stranger",H18="voice",ISNUMBER(M18)),M18,"")</f>
        <v/>
      </c>
      <c r="Z18" s="25" t="str">
        <f aca="false">IF(AND(T18="stranger",H18="text",ISNUMBER(M18)),M18,"")</f>
        <v/>
      </c>
      <c r="AA18" s="25" t="str">
        <f aca="false">IF(AND(T18="stranger",ISNUMBER(J18)),J18,"")</f>
        <v/>
      </c>
      <c r="AB18" s="25" t="str">
        <f aca="false">IF(AND(T18="stranger",H18="voice",ISNUMBER(J18)),J18,"")</f>
        <v/>
      </c>
      <c r="AC18" s="25" t="str">
        <f aca="false">IF(AND(T18="stranger",H18="text",ISNUMBER(J18)),J18,"")</f>
        <v/>
      </c>
      <c r="AD18" s="25" t="str">
        <f aca="false">IF(AND(T18="stranger",ISNUMBER(O18)),O18,"")</f>
        <v/>
      </c>
      <c r="AE18" s="25" t="str">
        <f aca="false">IF(AND(T18="stranger",ISNUMBER(P18)),P18,"")</f>
        <v/>
      </c>
      <c r="AF18" s="25" t="str">
        <f aca="false">IF(AND(T18="friends &amp; family",ISNUMBER(L18)),L18,"")</f>
        <v/>
      </c>
      <c r="AG18" s="9"/>
    </row>
    <row r="19" customFormat="false" ht="15" hidden="false" customHeight="true" outlineLevel="0" collapsed="false">
      <c r="A19" s="9" t="s">
        <v>150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25" t="str">
        <f aca="false">IF(AND(T19="stranger",ISNUMBER(L19)),L19,"")</f>
        <v/>
      </c>
      <c r="V19" s="25" t="str">
        <f aca="false">IF(AND(T19="stranger",H19="voice",ISNUMBER(L19)),L19,"")</f>
        <v/>
      </c>
      <c r="W19" s="25" t="str">
        <f aca="false">IF(AND(T19="stranger",H19="text",ISNUMBER(L19)),L19,"")</f>
        <v/>
      </c>
      <c r="X19" s="25" t="str">
        <f aca="false">IF(AND(T19="stranger",ISNUMBER(M19)),M19,"")</f>
        <v/>
      </c>
      <c r="Y19" s="25" t="str">
        <f aca="false">IF(AND(T19="stranger",H19="voice",ISNUMBER(M19)),M19,"")</f>
        <v/>
      </c>
      <c r="Z19" s="25" t="str">
        <f aca="false">IF(AND(T19="stranger",H19="text",ISNUMBER(M19)),M19,"")</f>
        <v/>
      </c>
      <c r="AA19" s="25" t="str">
        <f aca="false">IF(AND(T19="stranger",ISNUMBER(J19)),J19,"")</f>
        <v/>
      </c>
      <c r="AB19" s="25" t="str">
        <f aca="false">IF(AND(T19="stranger",H19="voice",ISNUMBER(J19)),J19,"")</f>
        <v/>
      </c>
      <c r="AC19" s="25" t="str">
        <f aca="false">IF(AND(T19="stranger",H19="text",ISNUMBER(J19)),J19,"")</f>
        <v/>
      </c>
      <c r="AD19" s="25" t="str">
        <f aca="false">IF(AND(T19="stranger",ISNUMBER(O19)),O19,"")</f>
        <v/>
      </c>
      <c r="AE19" s="25" t="str">
        <f aca="false">IF(AND(T19="stranger",ISNUMBER(P19)),P19,"")</f>
        <v/>
      </c>
      <c r="AF19" s="25" t="str">
        <f aca="false">IF(AND(T19="friends &amp; family",ISNUMBER(L19)),L19,"")</f>
        <v/>
      </c>
      <c r="AG19" s="9"/>
    </row>
    <row r="20" customFormat="false" ht="15" hidden="false" customHeight="true" outlineLevel="0" collapsed="false">
      <c r="A20" s="9" t="s">
        <v>151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25" t="str">
        <f aca="false">IF(AND(T20="stranger",ISNUMBER(L20)),L20,"")</f>
        <v/>
      </c>
      <c r="V20" s="25" t="str">
        <f aca="false">IF(AND(T20="stranger",H20="voice",ISNUMBER(L20)),L20,"")</f>
        <v/>
      </c>
      <c r="W20" s="25" t="str">
        <f aca="false">IF(AND(T20="stranger",H20="text",ISNUMBER(L20)),L20,"")</f>
        <v/>
      </c>
      <c r="X20" s="25" t="str">
        <f aca="false">IF(AND(T20="stranger",ISNUMBER(M20)),M20,"")</f>
        <v/>
      </c>
      <c r="Y20" s="25" t="str">
        <f aca="false">IF(AND(T20="stranger",H20="voice",ISNUMBER(M20)),M20,"")</f>
        <v/>
      </c>
      <c r="Z20" s="25" t="str">
        <f aca="false">IF(AND(T20="stranger",H20="text",ISNUMBER(M20)),M20,"")</f>
        <v/>
      </c>
      <c r="AA20" s="25" t="str">
        <f aca="false">IF(AND(T20="stranger",ISNUMBER(J20)),J20,"")</f>
        <v/>
      </c>
      <c r="AB20" s="25" t="str">
        <f aca="false">IF(AND(T20="stranger",H20="voice",ISNUMBER(J20)),J20,"")</f>
        <v/>
      </c>
      <c r="AC20" s="25" t="str">
        <f aca="false">IF(AND(T20="stranger",H20="text",ISNUMBER(J20)),J20,"")</f>
        <v/>
      </c>
      <c r="AD20" s="25" t="str">
        <f aca="false">IF(AND(T20="stranger",ISNUMBER(O20)),O20,"")</f>
        <v/>
      </c>
      <c r="AE20" s="25" t="str">
        <f aca="false">IF(AND(T20="stranger",ISNUMBER(P20)),P20,"")</f>
        <v/>
      </c>
      <c r="AF20" s="25" t="str">
        <f aca="false">IF(AND(T20="friends &amp; family",ISNUMBER(L20)),L20,"")</f>
        <v/>
      </c>
      <c r="AG20" s="9"/>
    </row>
    <row r="21" customFormat="false" ht="15" hidden="false" customHeight="true" outlineLevel="0" collapsed="false">
      <c r="A21" s="9" t="s">
        <v>152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25" t="str">
        <f aca="false">IF(AND(T21="stranger",ISNUMBER(L21)),L21,"")</f>
        <v/>
      </c>
      <c r="V21" s="25" t="str">
        <f aca="false">IF(AND(T21="stranger",H21="voice",ISNUMBER(L21)),L21,"")</f>
        <v/>
      </c>
      <c r="W21" s="25" t="str">
        <f aca="false">IF(AND(T21="stranger",H21="text",ISNUMBER(L21)),L21,"")</f>
        <v/>
      </c>
      <c r="X21" s="25" t="str">
        <f aca="false">IF(AND(T21="stranger",ISNUMBER(M21)),M21,"")</f>
        <v/>
      </c>
      <c r="Y21" s="25" t="str">
        <f aca="false">IF(AND(T21="stranger",H21="voice",ISNUMBER(M21)),M21,"")</f>
        <v/>
      </c>
      <c r="Z21" s="25" t="str">
        <f aca="false">IF(AND(T21="stranger",H21="text",ISNUMBER(M21)),M21,"")</f>
        <v/>
      </c>
      <c r="AA21" s="25" t="str">
        <f aca="false">IF(AND(T21="stranger",ISNUMBER(J21)),J21,"")</f>
        <v/>
      </c>
      <c r="AB21" s="25" t="str">
        <f aca="false">IF(AND(T21="stranger",H21="voice",ISNUMBER(J21)),J21,"")</f>
        <v/>
      </c>
      <c r="AC21" s="25" t="str">
        <f aca="false">IF(AND(T21="stranger",H21="text",ISNUMBER(J21)),J21,"")</f>
        <v/>
      </c>
      <c r="AD21" s="25" t="str">
        <f aca="false">IF(AND(T21="stranger",ISNUMBER(O21)),O21,"")</f>
        <v/>
      </c>
      <c r="AE21" s="25" t="str">
        <f aca="false">IF(AND(T21="stranger",ISNUMBER(P21)),P21,"")</f>
        <v/>
      </c>
      <c r="AF21" s="25" t="str">
        <f aca="false">IF(AND(T21="friends &amp; family",ISNUMBER(L21)),L21,"")</f>
        <v/>
      </c>
      <c r="AG21" s="9"/>
    </row>
    <row r="22" customFormat="false" ht="15" hidden="false" customHeight="true" outlineLevel="0" collapsed="false">
      <c r="A22" s="9" t="s">
        <v>153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25" t="str">
        <f aca="false">IF(AND(T22="stranger",ISNUMBER(L22)),L22,"")</f>
        <v/>
      </c>
      <c r="V22" s="25" t="str">
        <f aca="false">IF(AND(T22="stranger",H22="voice",ISNUMBER(L22)),L22,"")</f>
        <v/>
      </c>
      <c r="W22" s="25" t="str">
        <f aca="false">IF(AND(T22="stranger",H22="text",ISNUMBER(L22)),L22,"")</f>
        <v/>
      </c>
      <c r="X22" s="25" t="str">
        <f aca="false">IF(AND(T22="stranger",ISNUMBER(M22)),M22,"")</f>
        <v/>
      </c>
      <c r="Y22" s="25" t="str">
        <f aca="false">IF(AND(T22="stranger",H22="voice",ISNUMBER(M22)),M22,"")</f>
        <v/>
      </c>
      <c r="Z22" s="25" t="str">
        <f aca="false">IF(AND(T22="stranger",H22="text",ISNUMBER(M22)),M22,"")</f>
        <v/>
      </c>
      <c r="AA22" s="25" t="str">
        <f aca="false">IF(AND(T22="stranger",ISNUMBER(J22)),J22,"")</f>
        <v/>
      </c>
      <c r="AB22" s="25" t="str">
        <f aca="false">IF(AND(T22="stranger",H22="voice",ISNUMBER(J22)),J22,"")</f>
        <v/>
      </c>
      <c r="AC22" s="25" t="str">
        <f aca="false">IF(AND(T22="stranger",H22="text",ISNUMBER(J22)),J22,"")</f>
        <v/>
      </c>
      <c r="AD22" s="25" t="str">
        <f aca="false">IF(AND(T22="stranger",ISNUMBER(O22)),O22,"")</f>
        <v/>
      </c>
      <c r="AE22" s="25" t="str">
        <f aca="false">IF(AND(T22="stranger",ISNUMBER(P22)),P22,"")</f>
        <v/>
      </c>
      <c r="AF22" s="25" t="str">
        <f aca="false">IF(AND(T22="friends &amp; family",ISNUMBER(L22)),L22,"")</f>
        <v/>
      </c>
      <c r="AG22" s="9"/>
    </row>
    <row r="23" customFormat="false" ht="15" hidden="false" customHeight="true" outlineLevel="0" collapsed="false">
      <c r="A23" s="9" t="s">
        <v>154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25" t="str">
        <f aca="false">IF(AND(T23="stranger",ISNUMBER(L23)),L23,"")</f>
        <v/>
      </c>
      <c r="V23" s="25" t="str">
        <f aca="false">IF(AND(T23="stranger",H23="voice",ISNUMBER(L23)),L23,"")</f>
        <v/>
      </c>
      <c r="W23" s="25" t="str">
        <f aca="false">IF(AND(T23="stranger",H23="text",ISNUMBER(L23)),L23,"")</f>
        <v/>
      </c>
      <c r="X23" s="25" t="str">
        <f aca="false">IF(AND(T23="stranger",ISNUMBER(M23)),M23,"")</f>
        <v/>
      </c>
      <c r="Y23" s="25" t="str">
        <f aca="false">IF(AND(T23="stranger",H23="voice",ISNUMBER(M23)),M23,"")</f>
        <v/>
      </c>
      <c r="Z23" s="25" t="str">
        <f aca="false">IF(AND(T23="stranger",H23="text",ISNUMBER(M23)),M23,"")</f>
        <v/>
      </c>
      <c r="AA23" s="25" t="str">
        <f aca="false">IF(AND(T23="stranger",ISNUMBER(J23)),J23,"")</f>
        <v/>
      </c>
      <c r="AB23" s="25" t="str">
        <f aca="false">IF(AND(T23="stranger",H23="voice",ISNUMBER(J23)),J23,"")</f>
        <v/>
      </c>
      <c r="AC23" s="25" t="str">
        <f aca="false">IF(AND(T23="stranger",H23="text",ISNUMBER(J23)),J23,"")</f>
        <v/>
      </c>
      <c r="AD23" s="25" t="str">
        <f aca="false">IF(AND(T23="stranger",ISNUMBER(O23)),O23,"")</f>
        <v/>
      </c>
      <c r="AE23" s="25" t="str">
        <f aca="false">IF(AND(T23="stranger",ISNUMBER(P23)),P23,"")</f>
        <v/>
      </c>
      <c r="AF23" s="25" t="str">
        <f aca="false">IF(AND(T23="friends &amp; family",ISNUMBER(L23)),L23,"")</f>
        <v/>
      </c>
      <c r="AG23" s="9"/>
    </row>
    <row r="24" customFormat="false" ht="15" hidden="false" customHeight="true" outlineLevel="0" collapsed="false">
      <c r="A24" s="9" t="s">
        <v>155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25" t="str">
        <f aca="false">IF(AND(T24="stranger",ISNUMBER(L24)),L24,"")</f>
        <v/>
      </c>
      <c r="V24" s="25" t="str">
        <f aca="false">IF(AND(T24="stranger",H24="voice",ISNUMBER(L24)),L24,"")</f>
        <v/>
      </c>
      <c r="W24" s="25" t="str">
        <f aca="false">IF(AND(T24="stranger",H24="text",ISNUMBER(L24)),L24,"")</f>
        <v/>
      </c>
      <c r="X24" s="25" t="str">
        <f aca="false">IF(AND(T24="stranger",ISNUMBER(M24)),M24,"")</f>
        <v/>
      </c>
      <c r="Y24" s="25" t="str">
        <f aca="false">IF(AND(T24="stranger",H24="voice",ISNUMBER(M24)),M24,"")</f>
        <v/>
      </c>
      <c r="Z24" s="25" t="str">
        <f aca="false">IF(AND(T24="stranger",H24="text",ISNUMBER(M24)),M24,"")</f>
        <v/>
      </c>
      <c r="AA24" s="25" t="str">
        <f aca="false">IF(AND(T24="stranger",ISNUMBER(J24)),J24,"")</f>
        <v/>
      </c>
      <c r="AB24" s="25" t="str">
        <f aca="false">IF(AND(T24="stranger",H24="voice",ISNUMBER(J24)),J24,"")</f>
        <v/>
      </c>
      <c r="AC24" s="25" t="str">
        <f aca="false">IF(AND(T24="stranger",H24="text",ISNUMBER(J24)),J24,"")</f>
        <v/>
      </c>
      <c r="AD24" s="25" t="str">
        <f aca="false">IF(AND(T24="stranger",ISNUMBER(O24)),O24,"")</f>
        <v/>
      </c>
      <c r="AE24" s="25" t="str">
        <f aca="false">IF(AND(T24="stranger",ISNUMBER(P24)),P24,"")</f>
        <v/>
      </c>
      <c r="AF24" s="25" t="str">
        <f aca="false">IF(AND(T24="friends &amp; family",ISNUMBER(L24)),L24,"")</f>
        <v/>
      </c>
      <c r="AG24" s="9"/>
    </row>
    <row r="25" customFormat="false" ht="15" hidden="false" customHeight="true" outlineLevel="0" collapsed="false">
      <c r="A25" s="9" t="s">
        <v>156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25" t="str">
        <f aca="false">IF(AND(T25="stranger",ISNUMBER(L25)),L25,"")</f>
        <v/>
      </c>
      <c r="V25" s="25" t="str">
        <f aca="false">IF(AND(T25="stranger",H25="voice",ISNUMBER(L25)),L25,"")</f>
        <v/>
      </c>
      <c r="W25" s="25" t="str">
        <f aca="false">IF(AND(T25="stranger",H25="text",ISNUMBER(L25)),L25,"")</f>
        <v/>
      </c>
      <c r="X25" s="25" t="str">
        <f aca="false">IF(AND(T25="stranger",ISNUMBER(M25)),M25,"")</f>
        <v/>
      </c>
      <c r="Y25" s="25" t="str">
        <f aca="false">IF(AND(T25="stranger",H25="voice",ISNUMBER(M25)),M25,"")</f>
        <v/>
      </c>
      <c r="Z25" s="25" t="str">
        <f aca="false">IF(AND(T25="stranger",H25="text",ISNUMBER(M25)),M25,"")</f>
        <v/>
      </c>
      <c r="AA25" s="25" t="str">
        <f aca="false">IF(AND(T25="stranger",ISNUMBER(J25)),J25,"")</f>
        <v/>
      </c>
      <c r="AB25" s="25" t="str">
        <f aca="false">IF(AND(T25="stranger",H25="voice",ISNUMBER(J25)),J25,"")</f>
        <v/>
      </c>
      <c r="AC25" s="25" t="str">
        <f aca="false">IF(AND(T25="stranger",H25="text",ISNUMBER(J25)),J25,"")</f>
        <v/>
      </c>
      <c r="AD25" s="25" t="str">
        <f aca="false">IF(AND(T25="stranger",ISNUMBER(O25)),O25,"")</f>
        <v/>
      </c>
      <c r="AE25" s="25" t="str">
        <f aca="false">IF(AND(T25="stranger",ISNUMBER(P25)),P25,"")</f>
        <v/>
      </c>
      <c r="AF25" s="25" t="str">
        <f aca="false">IF(AND(T25="friends &amp; family",ISNUMBER(L25)),L25,"")</f>
        <v/>
      </c>
      <c r="AG25" s="9"/>
    </row>
    <row r="26" customFormat="false" ht="1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25" t="str">
        <f aca="false">IF(AND(T26="stranger",ISNUMBER(L26)),L26,"")</f>
        <v/>
      </c>
      <c r="V26" s="25" t="str">
        <f aca="false">IF(AND(T26="stranger",H26="voice",ISNUMBER(L26)),L26,"")</f>
        <v/>
      </c>
      <c r="W26" s="25" t="str">
        <f aca="false">IF(AND(T26="stranger",H26="text",ISNUMBER(L26)),L26,"")</f>
        <v/>
      </c>
      <c r="X26" s="25" t="str">
        <f aca="false">IF(AND(T26="stranger",ISNUMBER(M26)),M26,"")</f>
        <v/>
      </c>
      <c r="Y26" s="25" t="str">
        <f aca="false">IF(AND(T26="stranger",H26="voice",ISNUMBER(M26)),M26,"")</f>
        <v/>
      </c>
      <c r="Z26" s="25" t="str">
        <f aca="false">IF(AND(T26="stranger",H26="text",ISNUMBER(M26)),M26,"")</f>
        <v/>
      </c>
      <c r="AA26" s="25" t="str">
        <f aca="false">IF(AND(T26="stranger",ISNUMBER(J26)),J26,"")</f>
        <v/>
      </c>
      <c r="AB26" s="25" t="str">
        <f aca="false">IF(AND(T26="stranger",H26="voice",ISNUMBER(J26)),J26,"")</f>
        <v/>
      </c>
      <c r="AC26" s="25" t="str">
        <f aca="false">IF(AND(T26="stranger",H26="text",ISNUMBER(J26)),J26,"")</f>
        <v/>
      </c>
      <c r="AD26" s="25" t="str">
        <f aca="false">IF(AND(T26="stranger",ISNUMBER(O26)),O26,"")</f>
        <v/>
      </c>
      <c r="AE26" s="25" t="str">
        <f aca="false">IF(AND(T26="stranger",ISNUMBER(P26)),P26,"")</f>
        <v/>
      </c>
      <c r="AF26" s="25" t="str">
        <f aca="false">IF(AND(T26="friends &amp; family",ISNUMBER(L26)),L26,"")</f>
        <v/>
      </c>
      <c r="AG26" s="9"/>
    </row>
    <row r="27" customFormat="false" ht="1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25" t="str">
        <f aca="false">IF(AND(T27="stranger",ISNUMBER(L27)),L27,"")</f>
        <v/>
      </c>
      <c r="V27" s="25" t="str">
        <f aca="false">IF(AND(T27="stranger",H27="voice",ISNUMBER(L27)),L27,"")</f>
        <v/>
      </c>
      <c r="W27" s="25" t="str">
        <f aca="false">IF(AND(T27="stranger",H27="text",ISNUMBER(L27)),L27,"")</f>
        <v/>
      </c>
      <c r="X27" s="25" t="str">
        <f aca="false">IF(AND(T27="stranger",ISNUMBER(M27)),M27,"")</f>
        <v/>
      </c>
      <c r="Y27" s="25" t="str">
        <f aca="false">IF(AND(T27="stranger",H27="voice",ISNUMBER(M27)),M27,"")</f>
        <v/>
      </c>
      <c r="Z27" s="25" t="str">
        <f aca="false">IF(AND(T27="stranger",H27="text",ISNUMBER(M27)),M27,"")</f>
        <v/>
      </c>
      <c r="AA27" s="25" t="str">
        <f aca="false">IF(AND(T27="stranger",ISNUMBER(J27)),J27,"")</f>
        <v/>
      </c>
      <c r="AB27" s="25" t="str">
        <f aca="false">IF(AND(T27="stranger",H27="voice",ISNUMBER(J27)),J27,"")</f>
        <v/>
      </c>
      <c r="AC27" s="25" t="str">
        <f aca="false">IF(AND(T27="stranger",H27="text",ISNUMBER(J27)),J27,"")</f>
        <v/>
      </c>
      <c r="AD27" s="25" t="str">
        <f aca="false">IF(AND(T27="stranger",ISNUMBER(O27)),O27,"")</f>
        <v/>
      </c>
      <c r="AE27" s="25" t="str">
        <f aca="false">IF(AND(T27="stranger",ISNUMBER(P27)),P27,"")</f>
        <v/>
      </c>
      <c r="AF27" s="25" t="str">
        <f aca="false">IF(AND(T27="friends &amp; family",ISNUMBER(L27)),L27,"")</f>
        <v/>
      </c>
      <c r="AG27" s="9"/>
    </row>
    <row r="28" customFormat="false" ht="1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25" t="str">
        <f aca="false">IF(AND(T28="stranger",ISNUMBER(L28)),L28,"")</f>
        <v/>
      </c>
      <c r="V28" s="25" t="str">
        <f aca="false">IF(AND(T28="stranger",H28="voice",ISNUMBER(L28)),L28,"")</f>
        <v/>
      </c>
      <c r="W28" s="25" t="str">
        <f aca="false">IF(AND(T28="stranger",H28="text",ISNUMBER(L28)),L28,"")</f>
        <v/>
      </c>
      <c r="X28" s="25" t="str">
        <f aca="false">IF(AND(T28="stranger",ISNUMBER(M28)),M28,"")</f>
        <v/>
      </c>
      <c r="Y28" s="25" t="str">
        <f aca="false">IF(AND(T28="stranger",H28="voice",ISNUMBER(M28)),M28,"")</f>
        <v/>
      </c>
      <c r="Z28" s="25" t="str">
        <f aca="false">IF(AND(T28="stranger",H28="text",ISNUMBER(M28)),M28,"")</f>
        <v/>
      </c>
      <c r="AA28" s="25" t="str">
        <f aca="false">IF(AND(T28="stranger",ISNUMBER(J28)),J28,"")</f>
        <v/>
      </c>
      <c r="AB28" s="25" t="str">
        <f aca="false">IF(AND(T28="stranger",H28="voice",ISNUMBER(J28)),J28,"")</f>
        <v/>
      </c>
      <c r="AC28" s="25" t="str">
        <f aca="false">IF(AND(T28="stranger",H28="text",ISNUMBER(J28)),J28,"")</f>
        <v/>
      </c>
      <c r="AD28" s="25" t="str">
        <f aca="false">IF(AND(T28="stranger",ISNUMBER(O28)),O28,"")</f>
        <v/>
      </c>
      <c r="AE28" s="25" t="str">
        <f aca="false">IF(AND(T28="stranger",ISNUMBER(P28)),P28,"")</f>
        <v/>
      </c>
      <c r="AF28" s="25" t="str">
        <f aca="false">IF(AND(T28="friends &amp; family",ISNUMBER(L28)),L28,"")</f>
        <v/>
      </c>
      <c r="AG28" s="9"/>
    </row>
    <row r="29" customFormat="false" ht="1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25" t="str">
        <f aca="false">IF(AND(T29="stranger",ISNUMBER(L29)),L29,"")</f>
        <v/>
      </c>
      <c r="V29" s="25" t="str">
        <f aca="false">IF(AND(T29="stranger",H29="voice",ISNUMBER(L29)),L29,"")</f>
        <v/>
      </c>
      <c r="W29" s="25" t="str">
        <f aca="false">IF(AND(T29="stranger",H29="text",ISNUMBER(L29)),L29,"")</f>
        <v/>
      </c>
      <c r="X29" s="25" t="str">
        <f aca="false">IF(AND(T29="stranger",ISNUMBER(M29)),M29,"")</f>
        <v/>
      </c>
      <c r="Y29" s="25" t="str">
        <f aca="false">IF(AND(T29="stranger",H29="voice",ISNUMBER(M29)),M29,"")</f>
        <v/>
      </c>
      <c r="Z29" s="25" t="str">
        <f aca="false">IF(AND(T29="stranger",H29="text",ISNUMBER(M29)),M29,"")</f>
        <v/>
      </c>
      <c r="AA29" s="25" t="str">
        <f aca="false">IF(AND(T29="stranger",ISNUMBER(J29)),J29,"")</f>
        <v/>
      </c>
      <c r="AB29" s="25" t="str">
        <f aca="false">IF(AND(T29="stranger",H29="voice",ISNUMBER(J29)),J29,"")</f>
        <v/>
      </c>
      <c r="AC29" s="25" t="str">
        <f aca="false">IF(AND(T29="stranger",H29="text",ISNUMBER(J29)),J29,"")</f>
        <v/>
      </c>
      <c r="AD29" s="25" t="str">
        <f aca="false">IF(AND(T29="stranger",ISNUMBER(O29)),O29,"")</f>
        <v/>
      </c>
      <c r="AE29" s="25" t="str">
        <f aca="false">IF(AND(T29="stranger",ISNUMBER(P29)),P29,"")</f>
        <v/>
      </c>
      <c r="AF29" s="25" t="str">
        <f aca="false">IF(AND(T29="friends &amp; family",ISNUMBER(L29)),L29,"")</f>
        <v/>
      </c>
      <c r="AG29" s="9"/>
    </row>
    <row r="30" customFormat="false" ht="1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25" t="str">
        <f aca="false">IF(AND(T30="stranger",ISNUMBER(L30)),L30,"")</f>
        <v/>
      </c>
      <c r="V30" s="25" t="str">
        <f aca="false">IF(AND(T30="stranger",H30="voice",ISNUMBER(L30)),L30,"")</f>
        <v/>
      </c>
      <c r="W30" s="25" t="str">
        <f aca="false">IF(AND(T30="stranger",H30="text",ISNUMBER(L30)),L30,"")</f>
        <v/>
      </c>
      <c r="X30" s="25" t="str">
        <f aca="false">IF(AND(T30="stranger",ISNUMBER(M30)),M30,"")</f>
        <v/>
      </c>
      <c r="Y30" s="25" t="str">
        <f aca="false">IF(AND(T30="stranger",H30="voice",ISNUMBER(M30)),M30,"")</f>
        <v/>
      </c>
      <c r="Z30" s="25" t="str">
        <f aca="false">IF(AND(T30="stranger",H30="text",ISNUMBER(M30)),M30,"")</f>
        <v/>
      </c>
      <c r="AA30" s="25" t="str">
        <f aca="false">IF(AND(T30="stranger",ISNUMBER(J30)),J30,"")</f>
        <v/>
      </c>
      <c r="AB30" s="25" t="str">
        <f aca="false">IF(AND(T30="stranger",H30="voice",ISNUMBER(J30)),J30,"")</f>
        <v/>
      </c>
      <c r="AC30" s="25" t="str">
        <f aca="false">IF(AND(T30="stranger",H30="text",ISNUMBER(J30)),J30,"")</f>
        <v/>
      </c>
      <c r="AD30" s="25" t="str">
        <f aca="false">IF(AND(T30="stranger",ISNUMBER(O30)),O30,"")</f>
        <v/>
      </c>
      <c r="AE30" s="25" t="str">
        <f aca="false">IF(AND(T30="stranger",ISNUMBER(P30)),P30,"")</f>
        <v/>
      </c>
      <c r="AF30" s="25" t="str">
        <f aca="false">IF(AND(T30="friends &amp; family",ISNUMBER(L30)),L30,"")</f>
        <v/>
      </c>
      <c r="AG30" s="9"/>
    </row>
    <row r="31" customFormat="false" ht="1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25" t="str">
        <f aca="false">IF(AND(T31="stranger",ISNUMBER(L31)),L31,"")</f>
        <v/>
      </c>
      <c r="V31" s="25" t="str">
        <f aca="false">IF(AND(T31="stranger",H31="voice",ISNUMBER(L31)),L31,"")</f>
        <v/>
      </c>
      <c r="W31" s="25" t="str">
        <f aca="false">IF(AND(T31="stranger",H31="text",ISNUMBER(L31)),L31,"")</f>
        <v/>
      </c>
      <c r="X31" s="25" t="str">
        <f aca="false">IF(AND(T31="stranger",ISNUMBER(M31)),M31,"")</f>
        <v/>
      </c>
      <c r="Y31" s="25" t="str">
        <f aca="false">IF(AND(T31="stranger",H31="voice",ISNUMBER(M31)),M31,"")</f>
        <v/>
      </c>
      <c r="Z31" s="25" t="str">
        <f aca="false">IF(AND(T31="stranger",H31="text",ISNUMBER(M31)),M31,"")</f>
        <v/>
      </c>
      <c r="AA31" s="25" t="str">
        <f aca="false">IF(AND(T31="stranger",ISNUMBER(J31)),J31,"")</f>
        <v/>
      </c>
      <c r="AB31" s="25" t="str">
        <f aca="false">IF(AND(T31="stranger",H31="voice",ISNUMBER(J31)),J31,"")</f>
        <v/>
      </c>
      <c r="AC31" s="25" t="str">
        <f aca="false">IF(AND(T31="stranger",H31="text",ISNUMBER(J31)),J31,"")</f>
        <v/>
      </c>
      <c r="AD31" s="25" t="str">
        <f aca="false">IF(AND(T31="stranger",ISNUMBER(O31)),O31,"")</f>
        <v/>
      </c>
      <c r="AE31" s="25" t="str">
        <f aca="false">IF(AND(T31="stranger",ISNUMBER(P31)),P31,"")</f>
        <v/>
      </c>
      <c r="AF31" s="25" t="str">
        <f aca="false">IF(AND(T31="friends &amp; family",ISNUMBER(L31)),L31,"")</f>
        <v/>
      </c>
      <c r="AG31" s="9"/>
    </row>
    <row r="32" customFormat="false" ht="1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25" t="str">
        <f aca="false">IF(AND(T32="stranger",ISNUMBER(L32)),L32,"")</f>
        <v/>
      </c>
      <c r="V32" s="25" t="str">
        <f aca="false">IF(AND(T32="stranger",H32="voice",ISNUMBER(L32)),L32,"")</f>
        <v/>
      </c>
      <c r="W32" s="25" t="str">
        <f aca="false">IF(AND(T32="stranger",H32="text",ISNUMBER(L32)),L32,"")</f>
        <v/>
      </c>
      <c r="X32" s="25" t="str">
        <f aca="false">IF(AND(T32="stranger",ISNUMBER(M32)),M32,"")</f>
        <v/>
      </c>
      <c r="Y32" s="25" t="str">
        <f aca="false">IF(AND(T32="stranger",H32="voice",ISNUMBER(M32)),M32,"")</f>
        <v/>
      </c>
      <c r="Z32" s="25" t="str">
        <f aca="false">IF(AND(T32="stranger",H32="text",ISNUMBER(M32)),M32,"")</f>
        <v/>
      </c>
      <c r="AA32" s="25" t="str">
        <f aca="false">IF(AND(T32="stranger",ISNUMBER(J32)),J32,"")</f>
        <v/>
      </c>
      <c r="AB32" s="25" t="str">
        <f aca="false">IF(AND(T32="stranger",H32="voice",ISNUMBER(J32)),J32,"")</f>
        <v/>
      </c>
      <c r="AC32" s="25" t="str">
        <f aca="false">IF(AND(T32="stranger",H32="text",ISNUMBER(J32)),J32,"")</f>
        <v/>
      </c>
      <c r="AD32" s="25" t="str">
        <f aca="false">IF(AND(T32="stranger",ISNUMBER(O32)),O32,"")</f>
        <v/>
      </c>
      <c r="AE32" s="25" t="str">
        <f aca="false">IF(AND(T32="stranger",ISNUMBER(P32)),P32,"")</f>
        <v/>
      </c>
      <c r="AF32" s="25" t="str">
        <f aca="false">IF(AND(T32="friends &amp; family",ISNUMBER(L32)),L32,"")</f>
        <v/>
      </c>
      <c r="AG32" s="9"/>
    </row>
    <row r="33" customFormat="false" ht="1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25" t="str">
        <f aca="false">IF(AND(T33="stranger",ISNUMBER(L33)),L33,"")</f>
        <v/>
      </c>
      <c r="V33" s="25" t="str">
        <f aca="false">IF(AND(T33="stranger",H33="voice",ISNUMBER(L33)),L33,"")</f>
        <v/>
      </c>
      <c r="W33" s="25" t="str">
        <f aca="false">IF(AND(T33="stranger",H33="text",ISNUMBER(L33)),L33,"")</f>
        <v/>
      </c>
      <c r="X33" s="25" t="str">
        <f aca="false">IF(AND(T33="stranger",ISNUMBER(M33)),M33,"")</f>
        <v/>
      </c>
      <c r="Y33" s="25" t="str">
        <f aca="false">IF(AND(T33="stranger",H33="voice",ISNUMBER(M33)),M33,"")</f>
        <v/>
      </c>
      <c r="Z33" s="25" t="str">
        <f aca="false">IF(AND(T33="stranger",H33="text",ISNUMBER(M33)),M33,"")</f>
        <v/>
      </c>
      <c r="AA33" s="25" t="str">
        <f aca="false">IF(AND(T33="stranger",ISNUMBER(J33)),J33,"")</f>
        <v/>
      </c>
      <c r="AB33" s="25" t="str">
        <f aca="false">IF(AND(T33="stranger",H33="voice",ISNUMBER(J33)),J33,"")</f>
        <v/>
      </c>
      <c r="AC33" s="25" t="str">
        <f aca="false">IF(AND(T33="stranger",H33="text",ISNUMBER(J33)),J33,"")</f>
        <v/>
      </c>
      <c r="AD33" s="25" t="str">
        <f aca="false">IF(AND(T33="stranger",ISNUMBER(O33)),O33,"")</f>
        <v/>
      </c>
      <c r="AE33" s="25" t="str">
        <f aca="false">IF(AND(T33="stranger",ISNUMBER(P33)),P33,"")</f>
        <v/>
      </c>
      <c r="AF33" s="25" t="str">
        <f aca="false">IF(AND(T33="friends &amp; family",ISNUMBER(L33)),L33,"")</f>
        <v/>
      </c>
      <c r="AG33" s="9"/>
    </row>
    <row r="34" customFormat="false" ht="1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25" t="str">
        <f aca="false">IF(AND(T34="stranger",ISNUMBER(L34)),L34,"")</f>
        <v/>
      </c>
      <c r="V34" s="25" t="str">
        <f aca="false">IF(AND(T34="stranger",H34="voice",ISNUMBER(L34)),L34,"")</f>
        <v/>
      </c>
      <c r="W34" s="25" t="str">
        <f aca="false">IF(AND(T34="stranger",H34="text",ISNUMBER(L34)),L34,"")</f>
        <v/>
      </c>
      <c r="X34" s="25" t="str">
        <f aca="false">IF(AND(T34="stranger",ISNUMBER(M34)),M34,"")</f>
        <v/>
      </c>
      <c r="Y34" s="25" t="str">
        <f aca="false">IF(AND(T34="stranger",H34="voice",ISNUMBER(M34)),M34,"")</f>
        <v/>
      </c>
      <c r="Z34" s="25" t="str">
        <f aca="false">IF(AND(T34="stranger",H34="text",ISNUMBER(M34)),M34,"")</f>
        <v/>
      </c>
      <c r="AA34" s="25" t="str">
        <f aca="false">IF(AND(T34="stranger",ISNUMBER(J34)),J34,"")</f>
        <v/>
      </c>
      <c r="AB34" s="25" t="str">
        <f aca="false">IF(AND(T34="stranger",H34="voice",ISNUMBER(J34)),J34,"")</f>
        <v/>
      </c>
      <c r="AC34" s="25" t="str">
        <f aca="false">IF(AND(T34="stranger",H34="text",ISNUMBER(J34)),J34,"")</f>
        <v/>
      </c>
      <c r="AD34" s="25" t="str">
        <f aca="false">IF(AND(T34="stranger",ISNUMBER(O34)),O34,"")</f>
        <v/>
      </c>
      <c r="AE34" s="25" t="str">
        <f aca="false">IF(AND(T34="stranger",ISNUMBER(P34)),P34,"")</f>
        <v/>
      </c>
      <c r="AF34" s="25" t="str">
        <f aca="false">IF(AND(T34="friends &amp; family",ISNUMBER(L34)),L34,"")</f>
        <v/>
      </c>
      <c r="AG34" s="9"/>
    </row>
    <row r="35" customFormat="false" ht="1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25" t="str">
        <f aca="false">IF(AND(T35="stranger",ISNUMBER(L35)),L35,"")</f>
        <v/>
      </c>
      <c r="V35" s="25" t="str">
        <f aca="false">IF(AND(T35="stranger",H35="voice",ISNUMBER(L35)),L35,"")</f>
        <v/>
      </c>
      <c r="W35" s="25" t="str">
        <f aca="false">IF(AND(T35="stranger",H35="text",ISNUMBER(L35)),L35,"")</f>
        <v/>
      </c>
      <c r="X35" s="25" t="str">
        <f aca="false">IF(AND(T35="stranger",ISNUMBER(M35)),M35,"")</f>
        <v/>
      </c>
      <c r="Y35" s="25" t="str">
        <f aca="false">IF(AND(T35="stranger",H35="voice",ISNUMBER(M35)),M35,"")</f>
        <v/>
      </c>
      <c r="Z35" s="25" t="str">
        <f aca="false">IF(AND(T35="stranger",H35="text",ISNUMBER(M35)),M35,"")</f>
        <v/>
      </c>
      <c r="AA35" s="25" t="str">
        <f aca="false">IF(AND(T35="stranger",ISNUMBER(J35)),J35,"")</f>
        <v/>
      </c>
      <c r="AB35" s="25" t="str">
        <f aca="false">IF(AND(T35="stranger",H35="voice",ISNUMBER(J35)),J35,"")</f>
        <v/>
      </c>
      <c r="AC35" s="25" t="str">
        <f aca="false">IF(AND(T35="stranger",H35="text",ISNUMBER(J35)),J35,"")</f>
        <v/>
      </c>
      <c r="AD35" s="25" t="str">
        <f aca="false">IF(AND(T35="stranger",ISNUMBER(O35)),O35,"")</f>
        <v/>
      </c>
      <c r="AE35" s="25" t="str">
        <f aca="false">IF(AND(T35="stranger",ISNUMBER(P35)),P35,"")</f>
        <v/>
      </c>
      <c r="AF35" s="25" t="str">
        <f aca="false">IF(AND(T35="friends &amp; family",ISNUMBER(L35)),L35,"")</f>
        <v/>
      </c>
      <c r="AG35" s="9"/>
    </row>
    <row r="36" customFormat="false" ht="1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25" t="str">
        <f aca="false">IF(AND(T36="stranger",ISNUMBER(L36)),L36,"")</f>
        <v/>
      </c>
      <c r="V36" s="25" t="str">
        <f aca="false">IF(AND(T36="stranger",H36="voice",ISNUMBER(L36)),L36,"")</f>
        <v/>
      </c>
      <c r="W36" s="25" t="str">
        <f aca="false">IF(AND(T36="stranger",H36="text",ISNUMBER(L36)),L36,"")</f>
        <v/>
      </c>
      <c r="X36" s="25" t="str">
        <f aca="false">IF(AND(T36="stranger",ISNUMBER(M36)),M36,"")</f>
        <v/>
      </c>
      <c r="Y36" s="25" t="str">
        <f aca="false">IF(AND(T36="stranger",H36="voice",ISNUMBER(M36)),M36,"")</f>
        <v/>
      </c>
      <c r="Z36" s="25" t="str">
        <f aca="false">IF(AND(T36="stranger",H36="text",ISNUMBER(M36)),M36,"")</f>
        <v/>
      </c>
      <c r="AA36" s="25" t="str">
        <f aca="false">IF(AND(T36="stranger",ISNUMBER(J36)),J36,"")</f>
        <v/>
      </c>
      <c r="AB36" s="25" t="str">
        <f aca="false">IF(AND(T36="stranger",H36="voice",ISNUMBER(J36)),J36,"")</f>
        <v/>
      </c>
      <c r="AC36" s="25" t="str">
        <f aca="false">IF(AND(T36="stranger",H36="text",ISNUMBER(J36)),J36,"")</f>
        <v/>
      </c>
      <c r="AD36" s="25" t="str">
        <f aca="false">IF(AND(T36="stranger",ISNUMBER(O36)),O36,"")</f>
        <v/>
      </c>
      <c r="AE36" s="25" t="str">
        <f aca="false">IF(AND(T36="stranger",ISNUMBER(P36)),P36,"")</f>
        <v/>
      </c>
      <c r="AF36" s="25" t="str">
        <f aca="false">IF(AND(T36="friends &amp; family",ISNUMBER(L36)),L36,"")</f>
        <v/>
      </c>
      <c r="AG36" s="9"/>
    </row>
    <row r="37" customFormat="false" ht="1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25" t="str">
        <f aca="false">IF(AND(T37="stranger",ISNUMBER(L37)),L37,"")</f>
        <v/>
      </c>
      <c r="V37" s="25" t="str">
        <f aca="false">IF(AND(T37="stranger",H37="voice",ISNUMBER(L37)),L37,"")</f>
        <v/>
      </c>
      <c r="W37" s="25" t="str">
        <f aca="false">IF(AND(T37="stranger",H37="text",ISNUMBER(L37)),L37,"")</f>
        <v/>
      </c>
      <c r="X37" s="25" t="str">
        <f aca="false">IF(AND(T37="stranger",ISNUMBER(M37)),M37,"")</f>
        <v/>
      </c>
      <c r="Y37" s="25" t="str">
        <f aca="false">IF(AND(T37="stranger",H37="voice",ISNUMBER(M37)),M37,"")</f>
        <v/>
      </c>
      <c r="Z37" s="25" t="str">
        <f aca="false">IF(AND(T37="stranger",H37="text",ISNUMBER(M37)),M37,"")</f>
        <v/>
      </c>
      <c r="AA37" s="25" t="str">
        <f aca="false">IF(AND(T37="stranger",ISNUMBER(J37)),J37,"")</f>
        <v/>
      </c>
      <c r="AB37" s="25" t="str">
        <f aca="false">IF(AND(T37="stranger",H37="voice",ISNUMBER(J37)),J37,"")</f>
        <v/>
      </c>
      <c r="AC37" s="25" t="str">
        <f aca="false">IF(AND(T37="stranger",H37="text",ISNUMBER(J37)),J37,"")</f>
        <v/>
      </c>
      <c r="AD37" s="25" t="str">
        <f aca="false">IF(AND(T37="stranger",ISNUMBER(O37)),O37,"")</f>
        <v/>
      </c>
      <c r="AE37" s="25" t="str">
        <f aca="false">IF(AND(T37="stranger",ISNUMBER(P37)),P37,"")</f>
        <v/>
      </c>
      <c r="AF37" s="25" t="str">
        <f aca="false">IF(AND(T37="friends &amp; family",ISNUMBER(L37)),L37,"")</f>
        <v/>
      </c>
      <c r="AG37" s="9"/>
    </row>
    <row r="38" customFormat="false" ht="1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25" t="str">
        <f aca="false">IF(AND(T38="stranger",ISNUMBER(L38)),L38,"")</f>
        <v/>
      </c>
      <c r="V38" s="25" t="str">
        <f aca="false">IF(AND(T38="stranger",H38="voice",ISNUMBER(L38)),L38,"")</f>
        <v/>
      </c>
      <c r="W38" s="25" t="str">
        <f aca="false">IF(AND(T38="stranger",H38="text",ISNUMBER(L38)),L38,"")</f>
        <v/>
      </c>
      <c r="X38" s="25" t="str">
        <f aca="false">IF(AND(T38="stranger",ISNUMBER(M38)),M38,"")</f>
        <v/>
      </c>
      <c r="Y38" s="25" t="str">
        <f aca="false">IF(AND(T38="stranger",H38="voice",ISNUMBER(M38)),M38,"")</f>
        <v/>
      </c>
      <c r="Z38" s="25" t="str">
        <f aca="false">IF(AND(T38="stranger",H38="text",ISNUMBER(M38)),M38,"")</f>
        <v/>
      </c>
      <c r="AA38" s="25" t="str">
        <f aca="false">IF(AND(T38="stranger",ISNUMBER(J38)),J38,"")</f>
        <v/>
      </c>
      <c r="AB38" s="25" t="str">
        <f aca="false">IF(AND(T38="stranger",H38="voice",ISNUMBER(J38)),J38,"")</f>
        <v/>
      </c>
      <c r="AC38" s="25" t="str">
        <f aca="false">IF(AND(T38="stranger",H38="text",ISNUMBER(J38)),J38,"")</f>
        <v/>
      </c>
      <c r="AD38" s="25" t="str">
        <f aca="false">IF(AND(T38="stranger",ISNUMBER(O38)),O38,"")</f>
        <v/>
      </c>
      <c r="AE38" s="25" t="str">
        <f aca="false">IF(AND(T38="stranger",ISNUMBER(P38)),P38,"")</f>
        <v/>
      </c>
      <c r="AF38" s="25" t="str">
        <f aca="false">IF(AND(T38="friends &amp; family",ISNUMBER(L38)),L38,"")</f>
        <v/>
      </c>
      <c r="AG38" s="9"/>
    </row>
    <row r="39" customFormat="false" ht="1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25" t="str">
        <f aca="false">IF(AND(T39="stranger",ISNUMBER(L39)),L39,"")</f>
        <v/>
      </c>
      <c r="V39" s="25" t="str">
        <f aca="false">IF(AND(T39="stranger",H39="voice",ISNUMBER(L39)),L39,"")</f>
        <v/>
      </c>
      <c r="W39" s="25" t="str">
        <f aca="false">IF(AND(T39="stranger",H39="text",ISNUMBER(L39)),L39,"")</f>
        <v/>
      </c>
      <c r="X39" s="25" t="str">
        <f aca="false">IF(AND(T39="stranger",ISNUMBER(M39)),M39,"")</f>
        <v/>
      </c>
      <c r="Y39" s="25" t="str">
        <f aca="false">IF(AND(T39="stranger",H39="voice",ISNUMBER(M39)),M39,"")</f>
        <v/>
      </c>
      <c r="Z39" s="25" t="str">
        <f aca="false">IF(AND(T39="stranger",H39="text",ISNUMBER(M39)),M39,"")</f>
        <v/>
      </c>
      <c r="AA39" s="25" t="str">
        <f aca="false">IF(AND(T39="stranger",ISNUMBER(J39)),J39,"")</f>
        <v/>
      </c>
      <c r="AB39" s="25" t="str">
        <f aca="false">IF(AND(T39="stranger",H39="voice",ISNUMBER(J39)),J39,"")</f>
        <v/>
      </c>
      <c r="AC39" s="25" t="str">
        <f aca="false">IF(AND(T39="stranger",H39="text",ISNUMBER(J39)),J39,"")</f>
        <v/>
      </c>
      <c r="AD39" s="25" t="str">
        <f aca="false">IF(AND(T39="stranger",ISNUMBER(O39)),O39,"")</f>
        <v/>
      </c>
      <c r="AE39" s="25" t="str">
        <f aca="false">IF(AND(T39="stranger",ISNUMBER(P39)),P39,"")</f>
        <v/>
      </c>
      <c r="AF39" s="25" t="str">
        <f aca="false">IF(AND(T39="friends &amp; family",ISNUMBER(L39)),L39,"")</f>
        <v/>
      </c>
      <c r="AG39" s="9"/>
    </row>
    <row r="40" customFormat="false" ht="1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25" t="str">
        <f aca="false">IF(AND(T40="stranger",ISNUMBER(L40)),L40,"")</f>
        <v/>
      </c>
      <c r="V40" s="25" t="str">
        <f aca="false">IF(AND(T40="stranger",H40="voice",ISNUMBER(L40)),L40,"")</f>
        <v/>
      </c>
      <c r="W40" s="25" t="str">
        <f aca="false">IF(AND(T40="stranger",H40="text",ISNUMBER(L40)),L40,"")</f>
        <v/>
      </c>
      <c r="X40" s="25" t="str">
        <f aca="false">IF(AND(T40="stranger",ISNUMBER(M40)),M40,"")</f>
        <v/>
      </c>
      <c r="Y40" s="25" t="str">
        <f aca="false">IF(AND(T40="stranger",H40="voice",ISNUMBER(M40)),M40,"")</f>
        <v/>
      </c>
      <c r="Z40" s="25" t="str">
        <f aca="false">IF(AND(T40="stranger",H40="text",ISNUMBER(M40)),M40,"")</f>
        <v/>
      </c>
      <c r="AA40" s="25" t="str">
        <f aca="false">IF(AND(T40="stranger",ISNUMBER(J40)),J40,"")</f>
        <v/>
      </c>
      <c r="AB40" s="25" t="str">
        <f aca="false">IF(AND(T40="stranger",H40="voice",ISNUMBER(J40)),J40,"")</f>
        <v/>
      </c>
      <c r="AC40" s="25" t="str">
        <f aca="false">IF(AND(T40="stranger",H40="text",ISNUMBER(J40)),J40,"")</f>
        <v/>
      </c>
      <c r="AD40" s="25" t="str">
        <f aca="false">IF(AND(T40="stranger",ISNUMBER(O40)),O40,"")</f>
        <v/>
      </c>
      <c r="AE40" s="25" t="str">
        <f aca="false">IF(AND(T40="stranger",ISNUMBER(P40)),P40,"")</f>
        <v/>
      </c>
      <c r="AF40" s="25" t="str">
        <f aca="false">IF(AND(T40="friends &amp; family",ISNUMBER(L40)),L40,"")</f>
        <v/>
      </c>
      <c r="AG40" s="9"/>
    </row>
    <row r="41" customFormat="false" ht="15" hidden="false" customHeight="tru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25" t="str">
        <f aca="false">IF(AND(T41="stranger",ISNUMBER(L41)),L41,"")</f>
        <v/>
      </c>
      <c r="V41" s="25" t="str">
        <f aca="false">IF(AND(T41="stranger",H41="voice",ISNUMBER(L41)),L41,"")</f>
        <v/>
      </c>
      <c r="W41" s="25" t="str">
        <f aca="false">IF(AND(T41="stranger",H41="text",ISNUMBER(L41)),L41,"")</f>
        <v/>
      </c>
      <c r="X41" s="25" t="str">
        <f aca="false">IF(AND(T41="stranger",ISNUMBER(M41)),M41,"")</f>
        <v/>
      </c>
      <c r="Y41" s="25" t="str">
        <f aca="false">IF(AND(T41="stranger",H41="voice",ISNUMBER(M41)),M41,"")</f>
        <v/>
      </c>
      <c r="Z41" s="25" t="str">
        <f aca="false">IF(AND(T41="stranger",H41="text",ISNUMBER(M41)),M41,"")</f>
        <v/>
      </c>
      <c r="AA41" s="25" t="str">
        <f aca="false">IF(AND(T41="stranger",ISNUMBER(J41)),J41,"")</f>
        <v/>
      </c>
      <c r="AB41" s="25" t="str">
        <f aca="false">IF(AND(T41="stranger",H41="voice",ISNUMBER(J41)),J41,"")</f>
        <v/>
      </c>
      <c r="AC41" s="25" t="str">
        <f aca="false">IF(AND(T41="stranger",H41="text",ISNUMBER(J41)),J41,"")</f>
        <v/>
      </c>
      <c r="AD41" s="25" t="str">
        <f aca="false">IF(AND(T41="stranger",ISNUMBER(O41)),O41,"")</f>
        <v/>
      </c>
      <c r="AE41" s="25" t="str">
        <f aca="false">IF(AND(T41="stranger",ISNUMBER(P41)),P41,"")</f>
        <v/>
      </c>
      <c r="AF41" s="25" t="str">
        <f aca="false">IF(AND(T41="friends &amp; family",ISNUMBER(L41)),L41,"")</f>
        <v/>
      </c>
      <c r="AG41" s="9"/>
    </row>
    <row r="42" customFormat="false" ht="15" hidden="false" customHeight="tru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25" t="str">
        <f aca="false">IF(AND(T42="stranger",ISNUMBER(L42)),L42,"")</f>
        <v/>
      </c>
      <c r="V42" s="25" t="str">
        <f aca="false">IF(AND(T42="stranger",H42="voice",ISNUMBER(L42)),L42,"")</f>
        <v/>
      </c>
      <c r="W42" s="25" t="str">
        <f aca="false">IF(AND(T42="stranger",H42="text",ISNUMBER(L42)),L42,"")</f>
        <v/>
      </c>
      <c r="X42" s="25" t="str">
        <f aca="false">IF(AND(T42="stranger",ISNUMBER(M42)),M42,"")</f>
        <v/>
      </c>
      <c r="Y42" s="25" t="str">
        <f aca="false">IF(AND(T42="stranger",H42="voice",ISNUMBER(M42)),M42,"")</f>
        <v/>
      </c>
      <c r="Z42" s="25" t="str">
        <f aca="false">IF(AND(T42="stranger",H42="text",ISNUMBER(M42)),M42,"")</f>
        <v/>
      </c>
      <c r="AA42" s="25" t="str">
        <f aca="false">IF(AND(T42="stranger",ISNUMBER(J42)),J42,"")</f>
        <v/>
      </c>
      <c r="AB42" s="25" t="str">
        <f aca="false">IF(AND(T42="stranger",H42="voice",ISNUMBER(J42)),J42,"")</f>
        <v/>
      </c>
      <c r="AC42" s="25" t="str">
        <f aca="false">IF(AND(T42="stranger",H42="text",ISNUMBER(J42)),J42,"")</f>
        <v/>
      </c>
      <c r="AD42" s="25" t="str">
        <f aca="false">IF(AND(T42="stranger",ISNUMBER(O42)),O42,"")</f>
        <v/>
      </c>
      <c r="AE42" s="25" t="str">
        <f aca="false">IF(AND(T42="stranger",ISNUMBER(P42)),P42,"")</f>
        <v/>
      </c>
      <c r="AF42" s="25" t="str">
        <f aca="false">IF(AND(T42="friends &amp; family",ISNUMBER(L42)),L42,"")</f>
        <v/>
      </c>
      <c r="AG42" s="9"/>
    </row>
    <row r="43" customFormat="false" ht="15" hidden="false" customHeight="tru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25" t="str">
        <f aca="false">IF(AND(T43="stranger",ISNUMBER(L43)),L43,"")</f>
        <v/>
      </c>
      <c r="V43" s="25" t="str">
        <f aca="false">IF(AND(T43="stranger",H43="voice",ISNUMBER(L43)),L43,"")</f>
        <v/>
      </c>
      <c r="W43" s="25" t="str">
        <f aca="false">IF(AND(T43="stranger",H43="text",ISNUMBER(L43)),L43,"")</f>
        <v/>
      </c>
      <c r="X43" s="25" t="str">
        <f aca="false">IF(AND(T43="stranger",ISNUMBER(M43)),M43,"")</f>
        <v/>
      </c>
      <c r="Y43" s="25" t="str">
        <f aca="false">IF(AND(T43="stranger",H43="voice",ISNUMBER(M43)),M43,"")</f>
        <v/>
      </c>
      <c r="Z43" s="25" t="str">
        <f aca="false">IF(AND(T43="stranger",H43="text",ISNUMBER(M43)),M43,"")</f>
        <v/>
      </c>
      <c r="AA43" s="25" t="str">
        <f aca="false">IF(AND(T43="stranger",ISNUMBER(J43)),J43,"")</f>
        <v/>
      </c>
      <c r="AB43" s="25" t="str">
        <f aca="false">IF(AND(T43="stranger",H43="voice",ISNUMBER(J43)),J43,"")</f>
        <v/>
      </c>
      <c r="AC43" s="25" t="str">
        <f aca="false">IF(AND(T43="stranger",H43="text",ISNUMBER(J43)),J43,"")</f>
        <v/>
      </c>
      <c r="AD43" s="25" t="str">
        <f aca="false">IF(AND(T43="stranger",ISNUMBER(O43)),O43,"")</f>
        <v/>
      </c>
      <c r="AE43" s="25" t="str">
        <f aca="false">IF(AND(T43="stranger",ISNUMBER(P43)),P43,"")</f>
        <v/>
      </c>
      <c r="AF43" s="25" t="str">
        <f aca="false">IF(AND(T43="friends &amp; family",ISNUMBER(L43)),L43,"")</f>
        <v/>
      </c>
      <c r="AG43" s="9"/>
    </row>
    <row r="44" customFormat="false" ht="15" hidden="false" customHeight="tru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25" t="str">
        <f aca="false">IF(AND(T44="stranger",ISNUMBER(L44)),L44,"")</f>
        <v/>
      </c>
      <c r="V44" s="25" t="str">
        <f aca="false">IF(AND(T44="stranger",H44="voice",ISNUMBER(L44)),L44,"")</f>
        <v/>
      </c>
      <c r="W44" s="25" t="str">
        <f aca="false">IF(AND(T44="stranger",H44="text",ISNUMBER(L44)),L44,"")</f>
        <v/>
      </c>
      <c r="X44" s="25" t="str">
        <f aca="false">IF(AND(T44="stranger",ISNUMBER(M44)),M44,"")</f>
        <v/>
      </c>
      <c r="Y44" s="25" t="str">
        <f aca="false">IF(AND(T44="stranger",H44="voice",ISNUMBER(M44)),M44,"")</f>
        <v/>
      </c>
      <c r="Z44" s="25" t="str">
        <f aca="false">IF(AND(T44="stranger",H44="text",ISNUMBER(M44)),M44,"")</f>
        <v/>
      </c>
      <c r="AA44" s="25" t="str">
        <f aca="false">IF(AND(T44="stranger",ISNUMBER(J44)),J44,"")</f>
        <v/>
      </c>
      <c r="AB44" s="25" t="str">
        <f aca="false">IF(AND(T44="stranger",H44="voice",ISNUMBER(J44)),J44,"")</f>
        <v/>
      </c>
      <c r="AC44" s="25" t="str">
        <f aca="false">IF(AND(T44="stranger",H44="text",ISNUMBER(J44)),J44,"")</f>
        <v/>
      </c>
      <c r="AD44" s="25" t="str">
        <f aca="false">IF(AND(T44="stranger",ISNUMBER(O44)),O44,"")</f>
        <v/>
      </c>
      <c r="AE44" s="25" t="str">
        <f aca="false">IF(AND(T44="stranger",ISNUMBER(P44)),P44,"")</f>
        <v/>
      </c>
      <c r="AF44" s="25" t="str">
        <f aca="false">IF(AND(T44="friends &amp; family",ISNUMBER(L44)),L44,"")</f>
        <v/>
      </c>
      <c r="AG44" s="9"/>
    </row>
    <row r="45" customFormat="false" ht="15" hidden="false" customHeight="tru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25" t="str">
        <f aca="false">IF(AND(T45="stranger",ISNUMBER(L45)),L45,"")</f>
        <v/>
      </c>
      <c r="V45" s="25" t="str">
        <f aca="false">IF(AND(T45="stranger",H45="voice",ISNUMBER(L45)),L45,"")</f>
        <v/>
      </c>
      <c r="W45" s="25" t="str">
        <f aca="false">IF(AND(T45="stranger",H45="text",ISNUMBER(L45)),L45,"")</f>
        <v/>
      </c>
      <c r="X45" s="25" t="str">
        <f aca="false">IF(AND(T45="stranger",ISNUMBER(M45)),M45,"")</f>
        <v/>
      </c>
      <c r="Y45" s="25" t="str">
        <f aca="false">IF(AND(T45="stranger",H45="voice",ISNUMBER(M45)),M45,"")</f>
        <v/>
      </c>
      <c r="Z45" s="25" t="str">
        <f aca="false">IF(AND(T45="stranger",H45="text",ISNUMBER(M45)),M45,"")</f>
        <v/>
      </c>
      <c r="AA45" s="25" t="str">
        <f aca="false">IF(AND(T45="stranger",ISNUMBER(J45)),J45,"")</f>
        <v/>
      </c>
      <c r="AB45" s="25" t="str">
        <f aca="false">IF(AND(T45="stranger",H45="voice",ISNUMBER(J45)),J45,"")</f>
        <v/>
      </c>
      <c r="AC45" s="25" t="str">
        <f aca="false">IF(AND(T45="stranger",H45="text",ISNUMBER(J45)),J45,"")</f>
        <v/>
      </c>
      <c r="AD45" s="25" t="str">
        <f aca="false">IF(AND(T45="stranger",ISNUMBER(O45)),O45,"")</f>
        <v/>
      </c>
      <c r="AE45" s="25" t="str">
        <f aca="false">IF(AND(T45="stranger",ISNUMBER(P45)),P45,"")</f>
        <v/>
      </c>
      <c r="AF45" s="25" t="str">
        <f aca="false">IF(AND(T45="friends &amp; family",ISNUMBER(L45)),L45,"")</f>
        <v/>
      </c>
      <c r="AG45" s="9"/>
    </row>
    <row r="46" customFormat="false" ht="15" hidden="false" customHeight="tru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25" t="str">
        <f aca="false">IF(AND(T46="stranger",ISNUMBER(L46)),L46,"")</f>
        <v/>
      </c>
      <c r="V46" s="25" t="str">
        <f aca="false">IF(AND(T46="stranger",H46="voice",ISNUMBER(L46)),L46,"")</f>
        <v/>
      </c>
      <c r="W46" s="25" t="str">
        <f aca="false">IF(AND(T46="stranger",H46="text",ISNUMBER(L46)),L46,"")</f>
        <v/>
      </c>
      <c r="X46" s="25" t="str">
        <f aca="false">IF(AND(T46="stranger",ISNUMBER(M46)),M46,"")</f>
        <v/>
      </c>
      <c r="Y46" s="25" t="str">
        <f aca="false">IF(AND(T46="stranger",H46="voice",ISNUMBER(M46)),M46,"")</f>
        <v/>
      </c>
      <c r="Z46" s="25" t="str">
        <f aca="false">IF(AND(T46="stranger",H46="text",ISNUMBER(M46)),M46,"")</f>
        <v/>
      </c>
      <c r="AA46" s="25" t="str">
        <f aca="false">IF(AND(T46="stranger",ISNUMBER(J46)),J46,"")</f>
        <v/>
      </c>
      <c r="AB46" s="25" t="str">
        <f aca="false">IF(AND(T46="stranger",H46="voice",ISNUMBER(J46)),J46,"")</f>
        <v/>
      </c>
      <c r="AC46" s="25" t="str">
        <f aca="false">IF(AND(T46="stranger",H46="text",ISNUMBER(J46)),J46,"")</f>
        <v/>
      </c>
      <c r="AD46" s="25" t="str">
        <f aca="false">IF(AND(T46="stranger",ISNUMBER(O46)),O46,"")</f>
        <v/>
      </c>
      <c r="AE46" s="25" t="str">
        <f aca="false">IF(AND(T46="stranger",ISNUMBER(P46)),P46,"")</f>
        <v/>
      </c>
      <c r="AF46" s="25" t="str">
        <f aca="false">IF(AND(T46="friends &amp; family",ISNUMBER(L46)),L46,"")</f>
        <v/>
      </c>
      <c r="AG46" s="9"/>
    </row>
    <row r="47" customFormat="false" ht="15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25" t="str">
        <f aca="false">IF(AND(T47="stranger",ISNUMBER(L47)),L47,"")</f>
        <v/>
      </c>
      <c r="V47" s="25" t="str">
        <f aca="false">IF(AND(T47="stranger",H47="voice",ISNUMBER(L47)),L47,"")</f>
        <v/>
      </c>
      <c r="W47" s="25" t="str">
        <f aca="false">IF(AND(T47="stranger",H47="text",ISNUMBER(L47)),L47,"")</f>
        <v/>
      </c>
      <c r="X47" s="25" t="str">
        <f aca="false">IF(AND(T47="stranger",ISNUMBER(M47)),M47,"")</f>
        <v/>
      </c>
      <c r="Y47" s="25" t="str">
        <f aca="false">IF(AND(T47="stranger",H47="voice",ISNUMBER(M47)),M47,"")</f>
        <v/>
      </c>
      <c r="Z47" s="25" t="str">
        <f aca="false">IF(AND(T47="stranger",H47="text",ISNUMBER(M47)),M47,"")</f>
        <v/>
      </c>
      <c r="AA47" s="25" t="str">
        <f aca="false">IF(AND(T47="stranger",ISNUMBER(J47)),J47,"")</f>
        <v/>
      </c>
      <c r="AB47" s="25" t="str">
        <f aca="false">IF(AND(T47="stranger",H47="voice",ISNUMBER(J47)),J47,"")</f>
        <v/>
      </c>
      <c r="AC47" s="25" t="str">
        <f aca="false">IF(AND(T47="stranger",H47="text",ISNUMBER(J47)),J47,"")</f>
        <v/>
      </c>
      <c r="AD47" s="25" t="str">
        <f aca="false">IF(AND(T47="stranger",ISNUMBER(O47)),O47,"")</f>
        <v/>
      </c>
      <c r="AE47" s="25" t="str">
        <f aca="false">IF(AND(T47="stranger",ISNUMBER(P47)),P47,"")</f>
        <v/>
      </c>
      <c r="AF47" s="25" t="str">
        <f aca="false">IF(AND(T47="friends &amp; family",ISNUMBER(L47)),L47,"")</f>
        <v/>
      </c>
      <c r="AG47" s="9"/>
    </row>
    <row r="48" customFormat="false" ht="15" hidden="false" customHeight="tru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25" t="str">
        <f aca="false">IF(AND(T48="stranger",ISNUMBER(L48)),L48,"")</f>
        <v/>
      </c>
      <c r="V48" s="25" t="str">
        <f aca="false">IF(AND(T48="stranger",H48="voice",ISNUMBER(L48)),L48,"")</f>
        <v/>
      </c>
      <c r="W48" s="25" t="str">
        <f aca="false">IF(AND(T48="stranger",H48="text",ISNUMBER(L48)),L48,"")</f>
        <v/>
      </c>
      <c r="X48" s="25" t="str">
        <f aca="false">IF(AND(T48="stranger",ISNUMBER(M48)),M48,"")</f>
        <v/>
      </c>
      <c r="Y48" s="25" t="str">
        <f aca="false">IF(AND(T48="stranger",H48="voice",ISNUMBER(M48)),M48,"")</f>
        <v/>
      </c>
      <c r="Z48" s="25" t="str">
        <f aca="false">IF(AND(T48="stranger",H48="text",ISNUMBER(M48)),M48,"")</f>
        <v/>
      </c>
      <c r="AA48" s="25" t="str">
        <f aca="false">IF(AND(T48="stranger",ISNUMBER(J48)),J48,"")</f>
        <v/>
      </c>
      <c r="AB48" s="25" t="str">
        <f aca="false">IF(AND(T48="stranger",H48="voice",ISNUMBER(J48)),J48,"")</f>
        <v/>
      </c>
      <c r="AC48" s="25" t="str">
        <f aca="false">IF(AND(T48="stranger",H48="text",ISNUMBER(J48)),J48,"")</f>
        <v/>
      </c>
      <c r="AD48" s="25" t="str">
        <f aca="false">IF(AND(T48="stranger",ISNUMBER(O48)),O48,"")</f>
        <v/>
      </c>
      <c r="AE48" s="25" t="str">
        <f aca="false">IF(AND(T48="stranger",ISNUMBER(P48)),P48,"")</f>
        <v/>
      </c>
      <c r="AF48" s="25" t="str">
        <f aca="false">IF(AND(T48="friends &amp; family",ISNUMBER(L48)),L48,"")</f>
        <v/>
      </c>
      <c r="AG48" s="9"/>
    </row>
    <row r="49" customFormat="false" ht="15" hidden="false" customHeight="tru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25" t="str">
        <f aca="false">IF(AND(T49="stranger",ISNUMBER(L49)),L49,"")</f>
        <v/>
      </c>
      <c r="V49" s="25" t="str">
        <f aca="false">IF(AND(T49="stranger",H49="voice",ISNUMBER(L49)),L49,"")</f>
        <v/>
      </c>
      <c r="W49" s="25" t="str">
        <f aca="false">IF(AND(T49="stranger",H49="text",ISNUMBER(L49)),L49,"")</f>
        <v/>
      </c>
      <c r="X49" s="25" t="str">
        <f aca="false">IF(AND(T49="stranger",ISNUMBER(M49)),M49,"")</f>
        <v/>
      </c>
      <c r="Y49" s="25" t="str">
        <f aca="false">IF(AND(T49="stranger",H49="voice",ISNUMBER(M49)),M49,"")</f>
        <v/>
      </c>
      <c r="Z49" s="25" t="str">
        <f aca="false">IF(AND(T49="stranger",H49="text",ISNUMBER(M49)),M49,"")</f>
        <v/>
      </c>
      <c r="AA49" s="25" t="str">
        <f aca="false">IF(AND(T49="stranger",ISNUMBER(J49)),J49,"")</f>
        <v/>
      </c>
      <c r="AB49" s="25" t="str">
        <f aca="false">IF(AND(T49="stranger",H49="voice",ISNUMBER(J49)),J49,"")</f>
        <v/>
      </c>
      <c r="AC49" s="25" t="str">
        <f aca="false">IF(AND(T49="stranger",H49="text",ISNUMBER(J49)),J49,"")</f>
        <v/>
      </c>
      <c r="AD49" s="25" t="str">
        <f aca="false">IF(AND(T49="stranger",ISNUMBER(O49)),O49,"")</f>
        <v/>
      </c>
      <c r="AE49" s="25" t="str">
        <f aca="false">IF(AND(T49="stranger",ISNUMBER(P49)),P49,"")</f>
        <v/>
      </c>
      <c r="AF49" s="25" t="str">
        <f aca="false">IF(AND(T49="friends &amp; family",ISNUMBER(L49)),L49,"")</f>
        <v/>
      </c>
      <c r="AG49" s="9"/>
    </row>
    <row r="50" customFormat="false" ht="15" hidden="false" customHeight="tru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25" t="str">
        <f aca="false">IF(AND(T50="stranger",ISNUMBER(L50)),L50,"")</f>
        <v/>
      </c>
      <c r="V50" s="25" t="str">
        <f aca="false">IF(AND(T50="stranger",H50="voice",ISNUMBER(L50)),L50,"")</f>
        <v/>
      </c>
      <c r="W50" s="25" t="str">
        <f aca="false">IF(AND(T50="stranger",H50="text",ISNUMBER(L50)),L50,"")</f>
        <v/>
      </c>
      <c r="X50" s="25" t="str">
        <f aca="false">IF(AND(T50="stranger",ISNUMBER(M50)),M50,"")</f>
        <v/>
      </c>
      <c r="Y50" s="25" t="str">
        <f aca="false">IF(AND(T50="stranger",H50="voice",ISNUMBER(M50)),M50,"")</f>
        <v/>
      </c>
      <c r="Z50" s="25" t="str">
        <f aca="false">IF(AND(T50="stranger",H50="text",ISNUMBER(M50)),M50,"")</f>
        <v/>
      </c>
      <c r="AA50" s="25" t="str">
        <f aca="false">IF(AND(T50="stranger",ISNUMBER(J50)),J50,"")</f>
        <v/>
      </c>
      <c r="AB50" s="25" t="str">
        <f aca="false">IF(AND(T50="stranger",H50="voice",ISNUMBER(J50)),J50,"")</f>
        <v/>
      </c>
      <c r="AC50" s="25" t="str">
        <f aca="false">IF(AND(T50="stranger",H50="text",ISNUMBER(J50)),J50,"")</f>
        <v/>
      </c>
      <c r="AD50" s="25" t="str">
        <f aca="false">IF(AND(T50="stranger",ISNUMBER(O50)),O50,"")</f>
        <v/>
      </c>
      <c r="AE50" s="25" t="str">
        <f aca="false">IF(AND(T50="stranger",ISNUMBER(P50)),P50,"")</f>
        <v/>
      </c>
      <c r="AF50" s="25" t="str">
        <f aca="false">IF(AND(T50="friends &amp; family",ISNUMBER(L50)),L50,"")</f>
        <v/>
      </c>
      <c r="AG50" s="9"/>
    </row>
    <row r="51" customFormat="false" ht="15" hidden="false" customHeight="tru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25" t="str">
        <f aca="false">IF(AND(T51="stranger",ISNUMBER(L51)),L51,"")</f>
        <v/>
      </c>
      <c r="V51" s="25" t="str">
        <f aca="false">IF(AND(T51="stranger",H51="voice",ISNUMBER(L51)),L51,"")</f>
        <v/>
      </c>
      <c r="W51" s="25" t="str">
        <f aca="false">IF(AND(T51="stranger",H51="text",ISNUMBER(L51)),L51,"")</f>
        <v/>
      </c>
      <c r="X51" s="25" t="str">
        <f aca="false">IF(AND(T51="stranger",ISNUMBER(M51)),M51,"")</f>
        <v/>
      </c>
      <c r="Y51" s="25" t="str">
        <f aca="false">IF(AND(T51="stranger",H51="voice",ISNUMBER(M51)),M51,"")</f>
        <v/>
      </c>
      <c r="Z51" s="25" t="str">
        <f aca="false">IF(AND(T51="stranger",H51="text",ISNUMBER(M51)),M51,"")</f>
        <v/>
      </c>
      <c r="AA51" s="25" t="str">
        <f aca="false">IF(AND(T51="stranger",ISNUMBER(J51)),J51,"")</f>
        <v/>
      </c>
      <c r="AB51" s="25" t="str">
        <f aca="false">IF(AND(T51="stranger",H51="voice",ISNUMBER(J51)),J51,"")</f>
        <v/>
      </c>
      <c r="AC51" s="25" t="str">
        <f aca="false">IF(AND(T51="stranger",H51="text",ISNUMBER(J51)),J51,"")</f>
        <v/>
      </c>
      <c r="AD51" s="25" t="str">
        <f aca="false">IF(AND(T51="stranger",ISNUMBER(O51)),O51,"")</f>
        <v/>
      </c>
      <c r="AE51" s="25" t="str">
        <f aca="false">IF(AND(T51="stranger",ISNUMBER(P51)),P51,"")</f>
        <v/>
      </c>
      <c r="AF51" s="25" t="str">
        <f aca="false">IF(AND(T51="friends &amp; family",ISNUMBER(L51)),L51,"")</f>
        <v/>
      </c>
      <c r="AG51" s="9"/>
    </row>
    <row r="52" customFormat="false" ht="15" hidden="false" customHeight="tru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25" t="str">
        <f aca="false">IF(AND(T52="stranger",ISNUMBER(L52)),L52,"")</f>
        <v/>
      </c>
      <c r="V52" s="25" t="str">
        <f aca="false">IF(AND(T52="stranger",H52="voice",ISNUMBER(L52)),L52,"")</f>
        <v/>
      </c>
      <c r="W52" s="25" t="str">
        <f aca="false">IF(AND(T52="stranger",H52="text",ISNUMBER(L52)),L52,"")</f>
        <v/>
      </c>
      <c r="X52" s="25" t="str">
        <f aca="false">IF(AND(T52="stranger",ISNUMBER(M52)),M52,"")</f>
        <v/>
      </c>
      <c r="Y52" s="25" t="str">
        <f aca="false">IF(AND(T52="stranger",H52="voice",ISNUMBER(M52)),M52,"")</f>
        <v/>
      </c>
      <c r="Z52" s="25" t="str">
        <f aca="false">IF(AND(T52="stranger",H52="text",ISNUMBER(M52)),M52,"")</f>
        <v/>
      </c>
      <c r="AA52" s="25" t="str">
        <f aca="false">IF(AND(T52="stranger",ISNUMBER(J52)),J52,"")</f>
        <v/>
      </c>
      <c r="AB52" s="25" t="str">
        <f aca="false">IF(AND(T52="stranger",H52="voice",ISNUMBER(J52)),J52,"")</f>
        <v/>
      </c>
      <c r="AC52" s="25" t="str">
        <f aca="false">IF(AND(T52="stranger",H52="text",ISNUMBER(J52)),J52,"")</f>
        <v/>
      </c>
      <c r="AD52" s="25" t="str">
        <f aca="false">IF(AND(T52="stranger",ISNUMBER(O52)),O52,"")</f>
        <v/>
      </c>
      <c r="AE52" s="25" t="str">
        <f aca="false">IF(AND(T52="stranger",ISNUMBER(P52)),P52,"")</f>
        <v/>
      </c>
      <c r="AF52" s="25" t="str">
        <f aca="false">IF(AND(T52="friends &amp; family",ISNUMBER(L52)),L52,"")</f>
        <v/>
      </c>
      <c r="AG52" s="9"/>
    </row>
    <row r="53" customFormat="false" ht="15" hidden="false" customHeight="tru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25" t="str">
        <f aca="false">IF(AND(T53="stranger",ISNUMBER(L53)),L53,"")</f>
        <v/>
      </c>
      <c r="V53" s="25" t="str">
        <f aca="false">IF(AND(T53="stranger",H53="voice",ISNUMBER(L53)),L53,"")</f>
        <v/>
      </c>
      <c r="W53" s="25" t="str">
        <f aca="false">IF(AND(T53="stranger",H53="text",ISNUMBER(L53)),L53,"")</f>
        <v/>
      </c>
      <c r="X53" s="25" t="str">
        <f aca="false">IF(AND(T53="stranger",ISNUMBER(M53)),M53,"")</f>
        <v/>
      </c>
      <c r="Y53" s="25" t="str">
        <f aca="false">IF(AND(T53="stranger",H53="voice",ISNUMBER(M53)),M53,"")</f>
        <v/>
      </c>
      <c r="Z53" s="25" t="str">
        <f aca="false">IF(AND(T53="stranger",H53="text",ISNUMBER(M53)),M53,"")</f>
        <v/>
      </c>
      <c r="AA53" s="25" t="str">
        <f aca="false">IF(AND(T53="stranger",ISNUMBER(J53)),J53,"")</f>
        <v/>
      </c>
      <c r="AB53" s="25" t="str">
        <f aca="false">IF(AND(T53="stranger",H53="voice",ISNUMBER(J53)),J53,"")</f>
        <v/>
      </c>
      <c r="AC53" s="25" t="str">
        <f aca="false">IF(AND(T53="stranger",H53="text",ISNUMBER(J53)),J53,"")</f>
        <v/>
      </c>
      <c r="AD53" s="25" t="str">
        <f aca="false">IF(AND(T53="stranger",ISNUMBER(O53)),O53,"")</f>
        <v/>
      </c>
      <c r="AE53" s="25" t="str">
        <f aca="false">IF(AND(T53="stranger",ISNUMBER(P53)),P53,"")</f>
        <v/>
      </c>
      <c r="AF53" s="25" t="str">
        <f aca="false">IF(AND(T53="friends &amp; family",ISNUMBER(L53)),L53,"")</f>
        <v/>
      </c>
      <c r="AG53" s="9"/>
    </row>
    <row r="54" customFormat="false" ht="15" hidden="false" customHeight="tru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25" t="str">
        <f aca="false">IF(AND(T54="stranger",ISNUMBER(L54)),L54,"")</f>
        <v/>
      </c>
      <c r="V54" s="25" t="str">
        <f aca="false">IF(AND(T54="stranger",H54="voice",ISNUMBER(L54)),L54,"")</f>
        <v/>
      </c>
      <c r="W54" s="25" t="str">
        <f aca="false">IF(AND(T54="stranger",H54="text",ISNUMBER(L54)),L54,"")</f>
        <v/>
      </c>
      <c r="X54" s="25" t="str">
        <f aca="false">IF(AND(T54="stranger",ISNUMBER(M54)),M54,"")</f>
        <v/>
      </c>
      <c r="Y54" s="25" t="str">
        <f aca="false">IF(AND(T54="stranger",H54="voice",ISNUMBER(M54)),M54,"")</f>
        <v/>
      </c>
      <c r="Z54" s="25" t="str">
        <f aca="false">IF(AND(T54="stranger",H54="text",ISNUMBER(M54)),M54,"")</f>
        <v/>
      </c>
      <c r="AA54" s="25" t="str">
        <f aca="false">IF(AND(T54="stranger",ISNUMBER(J54)),J54,"")</f>
        <v/>
      </c>
      <c r="AB54" s="25" t="str">
        <f aca="false">IF(AND(T54="stranger",H54="voice",ISNUMBER(J54)),J54,"")</f>
        <v/>
      </c>
      <c r="AC54" s="25" t="str">
        <f aca="false">IF(AND(T54="stranger",H54="text",ISNUMBER(J54)),J54,"")</f>
        <v/>
      </c>
      <c r="AD54" s="25" t="str">
        <f aca="false">IF(AND(T54="stranger",ISNUMBER(O54)),O54,"")</f>
        <v/>
      </c>
      <c r="AE54" s="25" t="str">
        <f aca="false">IF(AND(T54="stranger",ISNUMBER(P54)),P54,"")</f>
        <v/>
      </c>
      <c r="AF54" s="25" t="str">
        <f aca="false">IF(AND(T54="friends &amp; family",ISNUMBER(L54)),L54,"")</f>
        <v/>
      </c>
      <c r="AG54" s="9"/>
    </row>
    <row r="55" customFormat="false" ht="15" hidden="false" customHeight="tru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25" t="str">
        <f aca="false">IF(AND(T55="stranger",ISNUMBER(L55)),L55,"")</f>
        <v/>
      </c>
      <c r="V55" s="25" t="str">
        <f aca="false">IF(AND(T55="stranger",H55="voice",ISNUMBER(L55)),L55,"")</f>
        <v/>
      </c>
      <c r="W55" s="25" t="str">
        <f aca="false">IF(AND(T55="stranger",H55="text",ISNUMBER(L55)),L55,"")</f>
        <v/>
      </c>
      <c r="X55" s="25" t="str">
        <f aca="false">IF(AND(T55="stranger",ISNUMBER(M55)),M55,"")</f>
        <v/>
      </c>
      <c r="Y55" s="25" t="str">
        <f aca="false">IF(AND(T55="stranger",H55="voice",ISNUMBER(M55)),M55,"")</f>
        <v/>
      </c>
      <c r="Z55" s="25" t="str">
        <f aca="false">IF(AND(T55="stranger",H55="text",ISNUMBER(M55)),M55,"")</f>
        <v/>
      </c>
      <c r="AA55" s="25" t="str">
        <f aca="false">IF(AND(T55="stranger",ISNUMBER(J55)),J55,"")</f>
        <v/>
      </c>
      <c r="AB55" s="25" t="str">
        <f aca="false">IF(AND(T55="stranger",H55="voice",ISNUMBER(J55)),J55,"")</f>
        <v/>
      </c>
      <c r="AC55" s="25" t="str">
        <f aca="false">IF(AND(T55="stranger",H55="text",ISNUMBER(J55)),J55,"")</f>
        <v/>
      </c>
      <c r="AD55" s="25" t="str">
        <f aca="false">IF(AND(T55="stranger",ISNUMBER(O55)),O55,"")</f>
        <v/>
      </c>
      <c r="AE55" s="25" t="str">
        <f aca="false">IF(AND(T55="stranger",ISNUMBER(P55)),P55,"")</f>
        <v/>
      </c>
      <c r="AF55" s="25" t="str">
        <f aca="false">IF(AND(T55="friends &amp; family",ISNUMBER(L55)),L55,"")</f>
        <v/>
      </c>
      <c r="AG55" s="9"/>
    </row>
    <row r="56" customFormat="false" ht="15" hidden="false" customHeight="tru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25" t="str">
        <f aca="false">IF(AND(T56="stranger",ISNUMBER(L56)),L56,"")</f>
        <v/>
      </c>
      <c r="V56" s="25" t="str">
        <f aca="false">IF(AND(T56="stranger",H56="voice",ISNUMBER(L56)),L56,"")</f>
        <v/>
      </c>
      <c r="W56" s="25" t="str">
        <f aca="false">IF(AND(T56="stranger",H56="text",ISNUMBER(L56)),L56,"")</f>
        <v/>
      </c>
      <c r="X56" s="25" t="str">
        <f aca="false">IF(AND(T56="stranger",ISNUMBER(M56)),M56,"")</f>
        <v/>
      </c>
      <c r="Y56" s="25" t="str">
        <f aca="false">IF(AND(T56="stranger",H56="voice",ISNUMBER(M56)),M56,"")</f>
        <v/>
      </c>
      <c r="Z56" s="25" t="str">
        <f aca="false">IF(AND(T56="stranger",H56="text",ISNUMBER(M56)),M56,"")</f>
        <v/>
      </c>
      <c r="AA56" s="25" t="str">
        <f aca="false">IF(AND(T56="stranger",ISNUMBER(J56)),J56,"")</f>
        <v/>
      </c>
      <c r="AB56" s="25" t="str">
        <f aca="false">IF(AND(T56="stranger",H56="voice",ISNUMBER(J56)),J56,"")</f>
        <v/>
      </c>
      <c r="AC56" s="25" t="str">
        <f aca="false">IF(AND(T56="stranger",H56="text",ISNUMBER(J56)),J56,"")</f>
        <v/>
      </c>
      <c r="AD56" s="25" t="str">
        <f aca="false">IF(AND(T56="stranger",ISNUMBER(O56)),O56,"")</f>
        <v/>
      </c>
      <c r="AE56" s="25" t="str">
        <f aca="false">IF(AND(T56="stranger",ISNUMBER(P56)),P56,"")</f>
        <v/>
      </c>
      <c r="AF56" s="25" t="str">
        <f aca="false">IF(AND(T56="friends &amp; family",ISNUMBER(L56)),L56,"")</f>
        <v/>
      </c>
      <c r="AG56" s="9"/>
    </row>
    <row r="57" customFormat="false" ht="15" hidden="false" customHeight="tru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25" t="str">
        <f aca="false">IF(AND(T57="stranger",ISNUMBER(L57)),L57,"")</f>
        <v/>
      </c>
      <c r="V57" s="25" t="str">
        <f aca="false">IF(AND(T57="stranger",H57="voice",ISNUMBER(L57)),L57,"")</f>
        <v/>
      </c>
      <c r="W57" s="25" t="str">
        <f aca="false">IF(AND(T57="stranger",H57="text",ISNUMBER(L57)),L57,"")</f>
        <v/>
      </c>
      <c r="X57" s="25" t="str">
        <f aca="false">IF(AND(T57="stranger",ISNUMBER(M57)),M57,"")</f>
        <v/>
      </c>
      <c r="Y57" s="25" t="str">
        <f aca="false">IF(AND(T57="stranger",H57="voice",ISNUMBER(M57)),M57,"")</f>
        <v/>
      </c>
      <c r="Z57" s="25" t="str">
        <f aca="false">IF(AND(T57="stranger",H57="text",ISNUMBER(M57)),M57,"")</f>
        <v/>
      </c>
      <c r="AA57" s="25" t="str">
        <f aca="false">IF(AND(T57="stranger",ISNUMBER(J57)),J57,"")</f>
        <v/>
      </c>
      <c r="AB57" s="25" t="str">
        <f aca="false">IF(AND(T57="stranger",H57="voice",ISNUMBER(J57)),J57,"")</f>
        <v/>
      </c>
      <c r="AC57" s="25" t="str">
        <f aca="false">IF(AND(T57="stranger",H57="text",ISNUMBER(J57)),J57,"")</f>
        <v/>
      </c>
      <c r="AD57" s="25" t="str">
        <f aca="false">IF(AND(T57="stranger",ISNUMBER(O57)),O57,"")</f>
        <v/>
      </c>
      <c r="AE57" s="25" t="str">
        <f aca="false">IF(AND(T57="stranger",ISNUMBER(P57)),P57,"")</f>
        <v/>
      </c>
      <c r="AF57" s="25" t="str">
        <f aca="false">IF(AND(T57="friends &amp; family",ISNUMBER(L57)),L57,"")</f>
        <v/>
      </c>
      <c r="AG57" s="9"/>
    </row>
    <row r="58" customFormat="false" ht="15" hidden="false" customHeight="tru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25" t="str">
        <f aca="false">IF(AND(T58="stranger",ISNUMBER(L58)),L58,"")</f>
        <v/>
      </c>
      <c r="V58" s="25" t="str">
        <f aca="false">IF(AND(T58="stranger",H58="voice",ISNUMBER(L58)),L58,"")</f>
        <v/>
      </c>
      <c r="W58" s="25" t="str">
        <f aca="false">IF(AND(T58="stranger",H58="text",ISNUMBER(L58)),L58,"")</f>
        <v/>
      </c>
      <c r="X58" s="25" t="str">
        <f aca="false">IF(AND(T58="stranger",ISNUMBER(M58)),M58,"")</f>
        <v/>
      </c>
      <c r="Y58" s="25" t="str">
        <f aca="false">IF(AND(T58="stranger",H58="voice",ISNUMBER(M58)),M58,"")</f>
        <v/>
      </c>
      <c r="Z58" s="25" t="str">
        <f aca="false">IF(AND(T58="stranger",H58="text",ISNUMBER(M58)),M58,"")</f>
        <v/>
      </c>
      <c r="AA58" s="25" t="str">
        <f aca="false">IF(AND(T58="stranger",ISNUMBER(J58)),J58,"")</f>
        <v/>
      </c>
      <c r="AB58" s="25" t="str">
        <f aca="false">IF(AND(T58="stranger",H58="voice",ISNUMBER(J58)),J58,"")</f>
        <v/>
      </c>
      <c r="AC58" s="25" t="str">
        <f aca="false">IF(AND(T58="stranger",H58="text",ISNUMBER(J58)),J58,"")</f>
        <v/>
      </c>
      <c r="AD58" s="25" t="str">
        <f aca="false">IF(AND(T58="stranger",ISNUMBER(O58)),O58,"")</f>
        <v/>
      </c>
      <c r="AE58" s="25" t="str">
        <f aca="false">IF(AND(T58="stranger",ISNUMBER(P58)),P58,"")</f>
        <v/>
      </c>
      <c r="AF58" s="25" t="str">
        <f aca="false">IF(AND(T58="friends &amp; family",ISNUMBER(L58)),L58,"")</f>
        <v/>
      </c>
      <c r="AG58" s="9"/>
    </row>
    <row r="59" customFormat="false" ht="15" hidden="false" customHeight="tru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25" t="str">
        <f aca="false">IF(AND(T59="stranger",ISNUMBER(L59)),L59,"")</f>
        <v/>
      </c>
      <c r="V59" s="25" t="str">
        <f aca="false">IF(AND(T59="stranger",H59="voice",ISNUMBER(L59)),L59,"")</f>
        <v/>
      </c>
      <c r="W59" s="25" t="str">
        <f aca="false">IF(AND(T59="stranger",H59="text",ISNUMBER(L59)),L59,"")</f>
        <v/>
      </c>
      <c r="X59" s="25" t="str">
        <f aca="false">IF(AND(T59="stranger",ISNUMBER(M59)),M59,"")</f>
        <v/>
      </c>
      <c r="Y59" s="25" t="str">
        <f aca="false">IF(AND(T59="stranger",H59="voice",ISNUMBER(M59)),M59,"")</f>
        <v/>
      </c>
      <c r="Z59" s="25" t="str">
        <f aca="false">IF(AND(T59="stranger",H59="text",ISNUMBER(M59)),M59,"")</f>
        <v/>
      </c>
      <c r="AA59" s="25" t="str">
        <f aca="false">IF(AND(T59="stranger",ISNUMBER(J59)),J59,"")</f>
        <v/>
      </c>
      <c r="AB59" s="25" t="str">
        <f aca="false">IF(AND(T59="stranger",H59="voice",ISNUMBER(J59)),J59,"")</f>
        <v/>
      </c>
      <c r="AC59" s="25" t="str">
        <f aca="false">IF(AND(T59="stranger",H59="text",ISNUMBER(J59)),J59,"")</f>
        <v/>
      </c>
      <c r="AD59" s="25" t="str">
        <f aca="false">IF(AND(T59="stranger",ISNUMBER(O59)),O59,"")</f>
        <v/>
      </c>
      <c r="AE59" s="25" t="str">
        <f aca="false">IF(AND(T59="stranger",ISNUMBER(P59)),P59,"")</f>
        <v/>
      </c>
      <c r="AF59" s="25" t="str">
        <f aca="false">IF(AND(T59="friends &amp; family",ISNUMBER(L59)),L59,"")</f>
        <v/>
      </c>
      <c r="AG59" s="9"/>
    </row>
    <row r="60" customFormat="false" ht="15" hidden="false" customHeight="tru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25" t="str">
        <f aca="false">IF(AND(T60="stranger",ISNUMBER(L60)),L60,"")</f>
        <v/>
      </c>
      <c r="V60" s="25" t="str">
        <f aca="false">IF(AND(T60="stranger",H60="voice",ISNUMBER(L60)),L60,"")</f>
        <v/>
      </c>
      <c r="W60" s="25" t="str">
        <f aca="false">IF(AND(T60="stranger",H60="text",ISNUMBER(L60)),L60,"")</f>
        <v/>
      </c>
      <c r="X60" s="25" t="str">
        <f aca="false">IF(AND(T60="stranger",ISNUMBER(M60)),M60,"")</f>
        <v/>
      </c>
      <c r="Y60" s="25" t="str">
        <f aca="false">IF(AND(T60="stranger",H60="voice",ISNUMBER(M60)),M60,"")</f>
        <v/>
      </c>
      <c r="Z60" s="25" t="str">
        <f aca="false">IF(AND(T60="stranger",H60="text",ISNUMBER(M60)),M60,"")</f>
        <v/>
      </c>
      <c r="AA60" s="25" t="str">
        <f aca="false">IF(AND(T60="stranger",ISNUMBER(J60)),J60,"")</f>
        <v/>
      </c>
      <c r="AB60" s="25" t="str">
        <f aca="false">IF(AND(T60="stranger",H60="voice",ISNUMBER(J60)),J60,"")</f>
        <v/>
      </c>
      <c r="AC60" s="25" t="str">
        <f aca="false">IF(AND(T60="stranger",H60="text",ISNUMBER(J60)),J60,"")</f>
        <v/>
      </c>
      <c r="AD60" s="25" t="str">
        <f aca="false">IF(AND(T60="stranger",ISNUMBER(O60)),O60,"")</f>
        <v/>
      </c>
      <c r="AE60" s="25" t="str">
        <f aca="false">IF(AND(T60="stranger",ISNUMBER(P60)),P60,"")</f>
        <v/>
      </c>
      <c r="AF60" s="25" t="str">
        <f aca="false">IF(AND(T60="friends &amp; family",ISNUMBER(L60)),L60,"")</f>
        <v/>
      </c>
      <c r="AG60" s="9"/>
    </row>
    <row r="61" customFormat="false" ht="15" hidden="false" customHeight="tru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25" t="str">
        <f aca="false">IF(AND(T61="stranger",ISNUMBER(L61)),L61,"")</f>
        <v/>
      </c>
      <c r="V61" s="25" t="str">
        <f aca="false">IF(AND(T61="stranger",H61="voice",ISNUMBER(L61)),L61,"")</f>
        <v/>
      </c>
      <c r="W61" s="25" t="str">
        <f aca="false">IF(AND(T61="stranger",H61="text",ISNUMBER(L61)),L61,"")</f>
        <v/>
      </c>
      <c r="X61" s="25" t="str">
        <f aca="false">IF(AND(T61="stranger",ISNUMBER(M61)),M61,"")</f>
        <v/>
      </c>
      <c r="Y61" s="25" t="str">
        <f aca="false">IF(AND(T61="stranger",H61="voice",ISNUMBER(M61)),M61,"")</f>
        <v/>
      </c>
      <c r="Z61" s="25" t="str">
        <f aca="false">IF(AND(T61="stranger",H61="text",ISNUMBER(M61)),M61,"")</f>
        <v/>
      </c>
      <c r="AA61" s="25" t="str">
        <f aca="false">IF(AND(T61="stranger",ISNUMBER(J61)),J61,"")</f>
        <v/>
      </c>
      <c r="AB61" s="25" t="str">
        <f aca="false">IF(AND(T61="stranger",H61="voice",ISNUMBER(J61)),J61,"")</f>
        <v/>
      </c>
      <c r="AC61" s="25" t="str">
        <f aca="false">IF(AND(T61="stranger",H61="text",ISNUMBER(J61)),J61,"")</f>
        <v/>
      </c>
      <c r="AD61" s="25" t="str">
        <f aca="false">IF(AND(T61="stranger",ISNUMBER(O61)),O61,"")</f>
        <v/>
      </c>
      <c r="AE61" s="25" t="str">
        <f aca="false">IF(AND(T61="stranger",ISNUMBER(P61)),P61,"")</f>
        <v/>
      </c>
      <c r="AF61" s="25" t="str">
        <f aca="false">IF(AND(T61="friends &amp; family",ISNUMBER(L61)),L61,"")</f>
        <v/>
      </c>
      <c r="AG61" s="9"/>
    </row>
    <row r="62" customFormat="false" ht="15" hidden="false" customHeight="tru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25" t="str">
        <f aca="false">IF(AND(T62="stranger",ISNUMBER(L62)),L62,"")</f>
        <v/>
      </c>
      <c r="V62" s="25" t="str">
        <f aca="false">IF(AND(T62="stranger",H62="voice",ISNUMBER(L62)),L62,"")</f>
        <v/>
      </c>
      <c r="W62" s="25" t="str">
        <f aca="false">IF(AND(T62="stranger",H62="text",ISNUMBER(L62)),L62,"")</f>
        <v/>
      </c>
      <c r="X62" s="25" t="str">
        <f aca="false">IF(AND(T62="stranger",ISNUMBER(M62)),M62,"")</f>
        <v/>
      </c>
      <c r="Y62" s="25" t="str">
        <f aca="false">IF(AND(T62="stranger",H62="voice",ISNUMBER(M62)),M62,"")</f>
        <v/>
      </c>
      <c r="Z62" s="25" t="str">
        <f aca="false">IF(AND(T62="stranger",H62="text",ISNUMBER(M62)),M62,"")</f>
        <v/>
      </c>
      <c r="AA62" s="25" t="str">
        <f aca="false">IF(AND(T62="stranger",ISNUMBER(J62)),J62,"")</f>
        <v/>
      </c>
      <c r="AB62" s="25" t="str">
        <f aca="false">IF(AND(T62="stranger",H62="voice",ISNUMBER(J62)),J62,"")</f>
        <v/>
      </c>
      <c r="AC62" s="25" t="str">
        <f aca="false">IF(AND(T62="stranger",H62="text",ISNUMBER(J62)),J62,"")</f>
        <v/>
      </c>
      <c r="AD62" s="25" t="str">
        <f aca="false">IF(AND(T62="stranger",ISNUMBER(O62)),O62,"")</f>
        <v/>
      </c>
      <c r="AE62" s="25" t="str">
        <f aca="false">IF(AND(T62="stranger",ISNUMBER(P62)),P62,"")</f>
        <v/>
      </c>
      <c r="AF62" s="25" t="str">
        <f aca="false">IF(AND(T62="friends &amp; family",ISNUMBER(L62)),L62,"")</f>
        <v/>
      </c>
      <c r="AG62" s="9"/>
    </row>
    <row r="63" customFormat="false" ht="15" hidden="false" customHeight="tru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25" t="str">
        <f aca="false">IF(AND(T63="stranger",ISNUMBER(L63)),L63,"")</f>
        <v/>
      </c>
      <c r="V63" s="25" t="str">
        <f aca="false">IF(AND(T63="stranger",H63="voice",ISNUMBER(L63)),L63,"")</f>
        <v/>
      </c>
      <c r="W63" s="25" t="str">
        <f aca="false">IF(AND(T63="stranger",H63="text",ISNUMBER(L63)),L63,"")</f>
        <v/>
      </c>
      <c r="X63" s="25" t="str">
        <f aca="false">IF(AND(T63="stranger",ISNUMBER(M63)),M63,"")</f>
        <v/>
      </c>
      <c r="Y63" s="25" t="str">
        <f aca="false">IF(AND(T63="stranger",H63="voice",ISNUMBER(M63)),M63,"")</f>
        <v/>
      </c>
      <c r="Z63" s="25" t="str">
        <f aca="false">IF(AND(T63="stranger",H63="text",ISNUMBER(M63)),M63,"")</f>
        <v/>
      </c>
      <c r="AA63" s="25" t="str">
        <f aca="false">IF(AND(T63="stranger",ISNUMBER(J63)),J63,"")</f>
        <v/>
      </c>
      <c r="AB63" s="25" t="str">
        <f aca="false">IF(AND(T63="stranger",H63="voice",ISNUMBER(J63)),J63,"")</f>
        <v/>
      </c>
      <c r="AC63" s="25" t="str">
        <f aca="false">IF(AND(T63="stranger",H63="text",ISNUMBER(J63)),J63,"")</f>
        <v/>
      </c>
      <c r="AD63" s="25" t="str">
        <f aca="false">IF(AND(T63="stranger",ISNUMBER(O63)),O63,"")</f>
        <v/>
      </c>
      <c r="AE63" s="25" t="str">
        <f aca="false">IF(AND(T63="stranger",ISNUMBER(P63)),P63,"")</f>
        <v/>
      </c>
      <c r="AF63" s="25" t="str">
        <f aca="false">IF(AND(T63="friends &amp; family",ISNUMBER(L63)),L63,"")</f>
        <v/>
      </c>
      <c r="AG63" s="9"/>
    </row>
    <row r="64" customFormat="false" ht="15" hidden="false" customHeight="tru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25" t="str">
        <f aca="false">IF(AND(T64="stranger",ISNUMBER(L64)),L64,"")</f>
        <v/>
      </c>
      <c r="V64" s="25" t="str">
        <f aca="false">IF(AND(T64="stranger",H64="voice",ISNUMBER(L64)),L64,"")</f>
        <v/>
      </c>
      <c r="W64" s="25" t="str">
        <f aca="false">IF(AND(T64="stranger",H64="text",ISNUMBER(L64)),L64,"")</f>
        <v/>
      </c>
      <c r="X64" s="25" t="str">
        <f aca="false">IF(AND(T64="stranger",ISNUMBER(M64)),M64,"")</f>
        <v/>
      </c>
      <c r="Y64" s="25" t="str">
        <f aca="false">IF(AND(T64="stranger",H64="voice",ISNUMBER(M64)),M64,"")</f>
        <v/>
      </c>
      <c r="Z64" s="25" t="str">
        <f aca="false">IF(AND(T64="stranger",H64="text",ISNUMBER(M64)),M64,"")</f>
        <v/>
      </c>
      <c r="AA64" s="25" t="str">
        <f aca="false">IF(AND(T64="stranger",ISNUMBER(J64)),J64,"")</f>
        <v/>
      </c>
      <c r="AB64" s="25" t="str">
        <f aca="false">IF(AND(T64="stranger",H64="voice",ISNUMBER(J64)),J64,"")</f>
        <v/>
      </c>
      <c r="AC64" s="25" t="str">
        <f aca="false">IF(AND(T64="stranger",H64="text",ISNUMBER(J64)),J64,"")</f>
        <v/>
      </c>
      <c r="AD64" s="25" t="str">
        <f aca="false">IF(AND(T64="stranger",ISNUMBER(O64)),O64,"")</f>
        <v/>
      </c>
      <c r="AE64" s="25" t="str">
        <f aca="false">IF(AND(T64="stranger",ISNUMBER(P64)),P64,"")</f>
        <v/>
      </c>
      <c r="AF64" s="25" t="str">
        <f aca="false">IF(AND(T64="friends &amp; family",ISNUMBER(L64)),L64,"")</f>
        <v/>
      </c>
      <c r="AG64" s="9"/>
    </row>
    <row r="65" customFormat="false" ht="15" hidden="false" customHeight="tru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25" t="str">
        <f aca="false">IF(AND(T65="stranger",ISNUMBER(L65)),L65,"")</f>
        <v/>
      </c>
      <c r="V65" s="25" t="str">
        <f aca="false">IF(AND(T65="stranger",H65="voice",ISNUMBER(L65)),L65,"")</f>
        <v/>
      </c>
      <c r="W65" s="25" t="str">
        <f aca="false">IF(AND(T65="stranger",H65="text",ISNUMBER(L65)),L65,"")</f>
        <v/>
      </c>
      <c r="X65" s="25" t="str">
        <f aca="false">IF(AND(T65="stranger",ISNUMBER(M65)),M65,"")</f>
        <v/>
      </c>
      <c r="Y65" s="25" t="str">
        <f aca="false">IF(AND(T65="stranger",H65="voice",ISNUMBER(M65)),M65,"")</f>
        <v/>
      </c>
      <c r="Z65" s="25" t="str">
        <f aca="false">IF(AND(T65="stranger",H65="text",ISNUMBER(M65)),M65,"")</f>
        <v/>
      </c>
      <c r="AA65" s="25" t="str">
        <f aca="false">IF(AND(T65="stranger",ISNUMBER(J65)),J65,"")</f>
        <v/>
      </c>
      <c r="AB65" s="25" t="str">
        <f aca="false">IF(AND(T65="stranger",H65="voice",ISNUMBER(J65)),J65,"")</f>
        <v/>
      </c>
      <c r="AC65" s="25" t="str">
        <f aca="false">IF(AND(T65="stranger",H65="text",ISNUMBER(J65)),J65,"")</f>
        <v/>
      </c>
      <c r="AD65" s="25" t="str">
        <f aca="false">IF(AND(T65="stranger",ISNUMBER(O65)),O65,"")</f>
        <v/>
      </c>
      <c r="AE65" s="25" t="str">
        <f aca="false">IF(AND(T65="stranger",ISNUMBER(P65)),P65,"")</f>
        <v/>
      </c>
      <c r="AF65" s="25" t="str">
        <f aca="false">IF(AND(T65="friends &amp; family",ISNUMBER(L65)),L65,"")</f>
        <v/>
      </c>
      <c r="AG65" s="9"/>
    </row>
    <row r="66" customFormat="false" ht="15" hidden="false" customHeight="tru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25" t="str">
        <f aca="false">IF(AND(T66="stranger",ISNUMBER(L66)),L66,"")</f>
        <v/>
      </c>
      <c r="V66" s="25" t="str">
        <f aca="false">IF(AND(T66="stranger",H66="voice",ISNUMBER(L66)),L66,"")</f>
        <v/>
      </c>
      <c r="W66" s="25" t="str">
        <f aca="false">IF(AND(T66="stranger",H66="text",ISNUMBER(L66)),L66,"")</f>
        <v/>
      </c>
      <c r="X66" s="25" t="str">
        <f aca="false">IF(AND(T66="stranger",ISNUMBER(M66)),M66,"")</f>
        <v/>
      </c>
      <c r="Y66" s="25" t="str">
        <f aca="false">IF(AND(T66="stranger",H66="voice",ISNUMBER(M66)),M66,"")</f>
        <v/>
      </c>
      <c r="Z66" s="25" t="str">
        <f aca="false">IF(AND(T66="stranger",H66="text",ISNUMBER(M66)),M66,"")</f>
        <v/>
      </c>
      <c r="AA66" s="25" t="str">
        <f aca="false">IF(AND(T66="stranger",ISNUMBER(J66)),J66,"")</f>
        <v/>
      </c>
      <c r="AB66" s="25" t="str">
        <f aca="false">IF(AND(T66="stranger",H66="voice",ISNUMBER(J66)),J66,"")</f>
        <v/>
      </c>
      <c r="AC66" s="25" t="str">
        <f aca="false">IF(AND(T66="stranger",H66="text",ISNUMBER(J66)),J66,"")</f>
        <v/>
      </c>
      <c r="AD66" s="25" t="str">
        <f aca="false">IF(AND(T66="stranger",ISNUMBER(O66)),O66,"")</f>
        <v/>
      </c>
      <c r="AE66" s="25" t="str">
        <f aca="false">IF(AND(T66="stranger",ISNUMBER(P66)),P66,"")</f>
        <v/>
      </c>
      <c r="AF66" s="25" t="str">
        <f aca="false">IF(AND(T66="friends &amp; family",ISNUMBER(L66)),L66,"")</f>
        <v/>
      </c>
      <c r="AG66" s="9"/>
    </row>
    <row r="67" customFormat="false" ht="15" hidden="false" customHeight="tru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25" t="str">
        <f aca="false">IF(AND(T67="stranger",ISNUMBER(L67)),L67,"")</f>
        <v/>
      </c>
      <c r="V67" s="25" t="str">
        <f aca="false">IF(AND(T67="stranger",H67="voice",ISNUMBER(L67)),L67,"")</f>
        <v/>
      </c>
      <c r="W67" s="25" t="str">
        <f aca="false">IF(AND(T67="stranger",H67="text",ISNUMBER(L67)),L67,"")</f>
        <v/>
      </c>
      <c r="X67" s="25" t="str">
        <f aca="false">IF(AND(T67="stranger",ISNUMBER(M67)),M67,"")</f>
        <v/>
      </c>
      <c r="Y67" s="25" t="str">
        <f aca="false">IF(AND(T67="stranger",H67="voice",ISNUMBER(M67)),M67,"")</f>
        <v/>
      </c>
      <c r="Z67" s="25" t="str">
        <f aca="false">IF(AND(T67="stranger",H67="text",ISNUMBER(M67)),M67,"")</f>
        <v/>
      </c>
      <c r="AA67" s="25" t="str">
        <f aca="false">IF(AND(T67="stranger",ISNUMBER(J67)),J67,"")</f>
        <v/>
      </c>
      <c r="AB67" s="25" t="str">
        <f aca="false">IF(AND(T67="stranger",H67="voice",ISNUMBER(J67)),J67,"")</f>
        <v/>
      </c>
      <c r="AC67" s="25" t="str">
        <f aca="false">IF(AND(T67="stranger",H67="text",ISNUMBER(J67)),J67,"")</f>
        <v/>
      </c>
      <c r="AD67" s="25" t="str">
        <f aca="false">IF(AND(T67="stranger",ISNUMBER(O67)),O67,"")</f>
        <v/>
      </c>
      <c r="AE67" s="25" t="str">
        <f aca="false">IF(AND(T67="stranger",ISNUMBER(P67)),P67,"")</f>
        <v/>
      </c>
      <c r="AF67" s="25" t="str">
        <f aca="false">IF(AND(T67="friends &amp; family",ISNUMBER(L67)),L67,"")</f>
        <v/>
      </c>
      <c r="AG67" s="9"/>
    </row>
    <row r="68" customFormat="false" ht="15" hidden="false" customHeight="tru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25" t="str">
        <f aca="false">IF(AND(T68="stranger",ISNUMBER(L68)),L68,"")</f>
        <v/>
      </c>
      <c r="V68" s="25" t="str">
        <f aca="false">IF(AND(T68="stranger",H68="voice",ISNUMBER(L68)),L68,"")</f>
        <v/>
      </c>
      <c r="W68" s="25" t="str">
        <f aca="false">IF(AND(T68="stranger",H68="text",ISNUMBER(L68)),L68,"")</f>
        <v/>
      </c>
      <c r="X68" s="25" t="str">
        <f aca="false">IF(AND(T68="stranger",ISNUMBER(M68)),M68,"")</f>
        <v/>
      </c>
      <c r="Y68" s="25" t="str">
        <f aca="false">IF(AND(T68="stranger",H68="voice",ISNUMBER(M68)),M68,"")</f>
        <v/>
      </c>
      <c r="Z68" s="25" t="str">
        <f aca="false">IF(AND(T68="stranger",H68="text",ISNUMBER(M68)),M68,"")</f>
        <v/>
      </c>
      <c r="AA68" s="25" t="str">
        <f aca="false">IF(AND(T68="stranger",ISNUMBER(J68)),J68,"")</f>
        <v/>
      </c>
      <c r="AB68" s="25" t="str">
        <f aca="false">IF(AND(T68="stranger",H68="voice",ISNUMBER(J68)),J68,"")</f>
        <v/>
      </c>
      <c r="AC68" s="25" t="str">
        <f aca="false">IF(AND(T68="stranger",H68="text",ISNUMBER(J68)),J68,"")</f>
        <v/>
      </c>
      <c r="AD68" s="25" t="str">
        <f aca="false">IF(AND(T68="stranger",ISNUMBER(O68)),O68,"")</f>
        <v/>
      </c>
      <c r="AE68" s="25" t="str">
        <f aca="false">IF(AND(T68="stranger",ISNUMBER(P68)),P68,"")</f>
        <v/>
      </c>
      <c r="AF68" s="25" t="str">
        <f aca="false">IF(AND(T68="friends &amp; family",ISNUMBER(L68)),L68,"")</f>
        <v/>
      </c>
      <c r="AG68" s="9"/>
    </row>
    <row r="69" customFormat="false" ht="15" hidden="false" customHeight="tru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25" t="str">
        <f aca="false">IF(AND(T69="stranger",ISNUMBER(L69)),L69,"")</f>
        <v/>
      </c>
      <c r="V69" s="25" t="str">
        <f aca="false">IF(AND(T69="stranger",H69="voice",ISNUMBER(L69)),L69,"")</f>
        <v/>
      </c>
      <c r="W69" s="25" t="str">
        <f aca="false">IF(AND(T69="stranger",H69="text",ISNUMBER(L69)),L69,"")</f>
        <v/>
      </c>
      <c r="X69" s="25" t="str">
        <f aca="false">IF(AND(T69="stranger",ISNUMBER(M69)),M69,"")</f>
        <v/>
      </c>
      <c r="Y69" s="25" t="str">
        <f aca="false">IF(AND(T69="stranger",H69="voice",ISNUMBER(M69)),M69,"")</f>
        <v/>
      </c>
      <c r="Z69" s="25" t="str">
        <f aca="false">IF(AND(T69="stranger",H69="text",ISNUMBER(M69)),M69,"")</f>
        <v/>
      </c>
      <c r="AA69" s="25" t="str">
        <f aca="false">IF(AND(T69="stranger",ISNUMBER(J69)),J69,"")</f>
        <v/>
      </c>
      <c r="AB69" s="25" t="str">
        <f aca="false">IF(AND(T69="stranger",H69="voice",ISNUMBER(J69)),J69,"")</f>
        <v/>
      </c>
      <c r="AC69" s="25" t="str">
        <f aca="false">IF(AND(T69="stranger",H69="text",ISNUMBER(J69)),J69,"")</f>
        <v/>
      </c>
      <c r="AD69" s="25" t="str">
        <f aca="false">IF(AND(T69="stranger",ISNUMBER(O69)),O69,"")</f>
        <v/>
      </c>
      <c r="AE69" s="25" t="str">
        <f aca="false">IF(AND(T69="stranger",ISNUMBER(P69)),P69,"")</f>
        <v/>
      </c>
      <c r="AF69" s="25" t="str">
        <f aca="false">IF(AND(T69="friends &amp; family",ISNUMBER(L69)),L69,"")</f>
        <v/>
      </c>
      <c r="AG69" s="9"/>
    </row>
    <row r="70" customFormat="false" ht="15" hidden="false" customHeight="tru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25" t="str">
        <f aca="false">IF(AND(T70="stranger",ISNUMBER(L70)),L70,"")</f>
        <v/>
      </c>
      <c r="V70" s="25" t="str">
        <f aca="false">IF(AND(T70="stranger",H70="voice",ISNUMBER(L70)),L70,"")</f>
        <v/>
      </c>
      <c r="W70" s="25" t="str">
        <f aca="false">IF(AND(T70="stranger",H70="text",ISNUMBER(L70)),L70,"")</f>
        <v/>
      </c>
      <c r="X70" s="25" t="str">
        <f aca="false">IF(AND(T70="stranger",ISNUMBER(M70)),M70,"")</f>
        <v/>
      </c>
      <c r="Y70" s="25" t="str">
        <f aca="false">IF(AND(T70="stranger",H70="voice",ISNUMBER(M70)),M70,"")</f>
        <v/>
      </c>
      <c r="Z70" s="25" t="str">
        <f aca="false">IF(AND(T70="stranger",H70="text",ISNUMBER(M70)),M70,"")</f>
        <v/>
      </c>
      <c r="AA70" s="25" t="str">
        <f aca="false">IF(AND(T70="stranger",ISNUMBER(J70)),J70,"")</f>
        <v/>
      </c>
      <c r="AB70" s="25" t="str">
        <f aca="false">IF(AND(T70="stranger",H70="voice",ISNUMBER(J70)),J70,"")</f>
        <v/>
      </c>
      <c r="AC70" s="25" t="str">
        <f aca="false">IF(AND(T70="stranger",H70="text",ISNUMBER(J70)),J70,"")</f>
        <v/>
      </c>
      <c r="AD70" s="25" t="str">
        <f aca="false">IF(AND(T70="stranger",ISNUMBER(O70)),O70,"")</f>
        <v/>
      </c>
      <c r="AE70" s="25" t="str">
        <f aca="false">IF(AND(T70="stranger",ISNUMBER(P70)),P70,"")</f>
        <v/>
      </c>
      <c r="AF70" s="25" t="str">
        <f aca="false">IF(AND(T70="friends &amp; family",ISNUMBER(L70)),L70,"")</f>
        <v/>
      </c>
      <c r="AG70" s="9"/>
    </row>
    <row r="71" customFormat="false" ht="15" hidden="false" customHeight="tru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25" t="str">
        <f aca="false">IF(AND(T71="stranger",ISNUMBER(L71)),L71,"")</f>
        <v/>
      </c>
      <c r="V71" s="25" t="str">
        <f aca="false">IF(AND(T71="stranger",H71="voice",ISNUMBER(L71)),L71,"")</f>
        <v/>
      </c>
      <c r="W71" s="25" t="str">
        <f aca="false">IF(AND(T71="stranger",H71="text",ISNUMBER(L71)),L71,"")</f>
        <v/>
      </c>
      <c r="X71" s="25" t="str">
        <f aca="false">IF(AND(T71="stranger",ISNUMBER(M71)),M71,"")</f>
        <v/>
      </c>
      <c r="Y71" s="25" t="str">
        <f aca="false">IF(AND(T71="stranger",H71="voice",ISNUMBER(M71)),M71,"")</f>
        <v/>
      </c>
      <c r="Z71" s="25" t="str">
        <f aca="false">IF(AND(T71="stranger",H71="text",ISNUMBER(M71)),M71,"")</f>
        <v/>
      </c>
      <c r="AA71" s="25" t="str">
        <f aca="false">IF(AND(T71="stranger",ISNUMBER(J71)),J71,"")</f>
        <v/>
      </c>
      <c r="AB71" s="25" t="str">
        <f aca="false">IF(AND(T71="stranger",H71="voice",ISNUMBER(J71)),J71,"")</f>
        <v/>
      </c>
      <c r="AC71" s="25" t="str">
        <f aca="false">IF(AND(T71="stranger",H71="text",ISNUMBER(J71)),J71,"")</f>
        <v/>
      </c>
      <c r="AD71" s="25" t="str">
        <f aca="false">IF(AND(T71="stranger",ISNUMBER(O71)),O71,"")</f>
        <v/>
      </c>
      <c r="AE71" s="25" t="str">
        <f aca="false">IF(AND(T71="stranger",ISNUMBER(P71)),P71,"")</f>
        <v/>
      </c>
      <c r="AF71" s="25" t="str">
        <f aca="false">IF(AND(T71="friends &amp; family",ISNUMBER(L71)),L71,"")</f>
        <v/>
      </c>
      <c r="AG71" s="9"/>
    </row>
    <row r="72" customFormat="false" ht="15" hidden="false" customHeight="tru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25" t="str">
        <f aca="false">IF(AND(T72="stranger",ISNUMBER(L72)),L72,"")</f>
        <v/>
      </c>
      <c r="V72" s="25" t="str">
        <f aca="false">IF(AND(T72="stranger",H72="voice",ISNUMBER(L72)),L72,"")</f>
        <v/>
      </c>
      <c r="W72" s="25" t="str">
        <f aca="false">IF(AND(T72="stranger",H72="text",ISNUMBER(L72)),L72,"")</f>
        <v/>
      </c>
      <c r="X72" s="25" t="str">
        <f aca="false">IF(AND(T72="stranger",ISNUMBER(M72)),M72,"")</f>
        <v/>
      </c>
      <c r="Y72" s="25" t="str">
        <f aca="false">IF(AND(T72="stranger",H72="voice",ISNUMBER(M72)),M72,"")</f>
        <v/>
      </c>
      <c r="Z72" s="25" t="str">
        <f aca="false">IF(AND(T72="stranger",H72="text",ISNUMBER(M72)),M72,"")</f>
        <v/>
      </c>
      <c r="AA72" s="25" t="str">
        <f aca="false">IF(AND(T72="stranger",ISNUMBER(J72)),J72,"")</f>
        <v/>
      </c>
      <c r="AB72" s="25" t="str">
        <f aca="false">IF(AND(T72="stranger",H72="voice",ISNUMBER(J72)),J72,"")</f>
        <v/>
      </c>
      <c r="AC72" s="25" t="str">
        <f aca="false">IF(AND(T72="stranger",H72="text",ISNUMBER(J72)),J72,"")</f>
        <v/>
      </c>
      <c r="AD72" s="25" t="str">
        <f aca="false">IF(AND(T72="stranger",ISNUMBER(O72)),O72,"")</f>
        <v/>
      </c>
      <c r="AE72" s="25" t="str">
        <f aca="false">IF(AND(T72="stranger",ISNUMBER(P72)),P72,"")</f>
        <v/>
      </c>
      <c r="AF72" s="25" t="str">
        <f aca="false">IF(AND(T72="friends &amp; family",ISNUMBER(L72)),L72,"")</f>
        <v/>
      </c>
      <c r="AG72" s="9"/>
    </row>
    <row r="73" customFormat="false" ht="15" hidden="false" customHeight="tru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25" t="str">
        <f aca="false">IF(AND(T73="stranger",ISNUMBER(L73)),L73,"")</f>
        <v/>
      </c>
      <c r="V73" s="25" t="str">
        <f aca="false">IF(AND(T73="stranger",H73="voice",ISNUMBER(L73)),L73,"")</f>
        <v/>
      </c>
      <c r="W73" s="25" t="str">
        <f aca="false">IF(AND(T73="stranger",H73="text",ISNUMBER(L73)),L73,"")</f>
        <v/>
      </c>
      <c r="X73" s="25" t="str">
        <f aca="false">IF(AND(T73="stranger",ISNUMBER(M73)),M73,"")</f>
        <v/>
      </c>
      <c r="Y73" s="25" t="str">
        <f aca="false">IF(AND(T73="stranger",H73="voice",ISNUMBER(M73)),M73,"")</f>
        <v/>
      </c>
      <c r="Z73" s="25" t="str">
        <f aca="false">IF(AND(T73="stranger",H73="text",ISNUMBER(M73)),M73,"")</f>
        <v/>
      </c>
      <c r="AA73" s="25" t="str">
        <f aca="false">IF(AND(T73="stranger",ISNUMBER(J73)),J73,"")</f>
        <v/>
      </c>
      <c r="AB73" s="25" t="str">
        <f aca="false">IF(AND(T73="stranger",H73="voice",ISNUMBER(J73)),J73,"")</f>
        <v/>
      </c>
      <c r="AC73" s="25" t="str">
        <f aca="false">IF(AND(T73="stranger",H73="text",ISNUMBER(J73)),J73,"")</f>
        <v/>
      </c>
      <c r="AD73" s="25" t="str">
        <f aca="false">IF(AND(T73="stranger",ISNUMBER(O73)),O73,"")</f>
        <v/>
      </c>
      <c r="AE73" s="25" t="str">
        <f aca="false">IF(AND(T73="stranger",ISNUMBER(P73)),P73,"")</f>
        <v/>
      </c>
      <c r="AF73" s="25" t="str">
        <f aca="false">IF(AND(T73="friends &amp; family",ISNUMBER(L73)),L73,"")</f>
        <v/>
      </c>
      <c r="AG73" s="9"/>
    </row>
    <row r="74" customFormat="false" ht="15" hidden="false" customHeight="tru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25" t="str">
        <f aca="false">IF(AND(T74="stranger",ISNUMBER(L74)),L74,"")</f>
        <v/>
      </c>
      <c r="V74" s="25" t="str">
        <f aca="false">IF(AND(T74="stranger",H74="voice",ISNUMBER(L74)),L74,"")</f>
        <v/>
      </c>
      <c r="W74" s="25" t="str">
        <f aca="false">IF(AND(T74="stranger",H74="text",ISNUMBER(L74)),L74,"")</f>
        <v/>
      </c>
      <c r="X74" s="25" t="str">
        <f aca="false">IF(AND(T74="stranger",ISNUMBER(M74)),M74,"")</f>
        <v/>
      </c>
      <c r="Y74" s="25" t="str">
        <f aca="false">IF(AND(T74="stranger",H74="voice",ISNUMBER(M74)),M74,"")</f>
        <v/>
      </c>
      <c r="Z74" s="25" t="str">
        <f aca="false">IF(AND(T74="stranger",H74="text",ISNUMBER(M74)),M74,"")</f>
        <v/>
      </c>
      <c r="AA74" s="25" t="str">
        <f aca="false">IF(AND(T74="stranger",ISNUMBER(J74)),J74,"")</f>
        <v/>
      </c>
      <c r="AB74" s="25" t="str">
        <f aca="false">IF(AND(T74="stranger",H74="voice",ISNUMBER(J74)),J74,"")</f>
        <v/>
      </c>
      <c r="AC74" s="25" t="str">
        <f aca="false">IF(AND(T74="stranger",H74="text",ISNUMBER(J74)),J74,"")</f>
        <v/>
      </c>
      <c r="AD74" s="25" t="str">
        <f aca="false">IF(AND(T74="stranger",ISNUMBER(O74)),O74,"")</f>
        <v/>
      </c>
      <c r="AE74" s="25" t="str">
        <f aca="false">IF(AND(T74="stranger",ISNUMBER(P74)),P74,"")</f>
        <v/>
      </c>
      <c r="AF74" s="25" t="str">
        <f aca="false">IF(AND(T74="friends &amp; family",ISNUMBER(L74)),L74,"")</f>
        <v/>
      </c>
      <c r="AG74" s="9"/>
    </row>
    <row r="75" customFormat="false" ht="15" hidden="false" customHeight="tru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25" t="str">
        <f aca="false">IF(AND(T75="stranger",ISNUMBER(L75)),L75,"")</f>
        <v/>
      </c>
      <c r="V75" s="25" t="str">
        <f aca="false">IF(AND(T75="stranger",H75="voice",ISNUMBER(L75)),L75,"")</f>
        <v/>
      </c>
      <c r="W75" s="25" t="str">
        <f aca="false">IF(AND(T75="stranger",H75="text",ISNUMBER(L75)),L75,"")</f>
        <v/>
      </c>
      <c r="X75" s="25" t="str">
        <f aca="false">IF(AND(T75="stranger",ISNUMBER(M75)),M75,"")</f>
        <v/>
      </c>
      <c r="Y75" s="25" t="str">
        <f aca="false">IF(AND(T75="stranger",H75="voice",ISNUMBER(M75)),M75,"")</f>
        <v/>
      </c>
      <c r="Z75" s="25" t="str">
        <f aca="false">IF(AND(T75="stranger",H75="text",ISNUMBER(M75)),M75,"")</f>
        <v/>
      </c>
      <c r="AA75" s="25" t="str">
        <f aca="false">IF(AND(T75="stranger",ISNUMBER(J75)),J75,"")</f>
        <v/>
      </c>
      <c r="AB75" s="25" t="str">
        <f aca="false">IF(AND(T75="stranger",H75="voice",ISNUMBER(J75)),J75,"")</f>
        <v/>
      </c>
      <c r="AC75" s="25" t="str">
        <f aca="false">IF(AND(T75="stranger",H75="text",ISNUMBER(J75)),J75,"")</f>
        <v/>
      </c>
      <c r="AD75" s="25" t="str">
        <f aca="false">IF(AND(T75="stranger",ISNUMBER(O75)),O75,"")</f>
        <v/>
      </c>
      <c r="AE75" s="25" t="str">
        <f aca="false">IF(AND(T75="stranger",ISNUMBER(P75)),P75,"")</f>
        <v/>
      </c>
      <c r="AF75" s="25" t="str">
        <f aca="false">IF(AND(T75="friends &amp; family",ISNUMBER(L75)),L75,"")</f>
        <v/>
      </c>
      <c r="AG75" s="9"/>
    </row>
    <row r="76" customFormat="false" ht="15" hidden="false" customHeight="tru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25" t="str">
        <f aca="false">IF(AND(T76="stranger",ISNUMBER(L76)),L76,"")</f>
        <v/>
      </c>
      <c r="V76" s="25" t="str">
        <f aca="false">IF(AND(T76="stranger",H76="voice",ISNUMBER(L76)),L76,"")</f>
        <v/>
      </c>
      <c r="W76" s="25" t="str">
        <f aca="false">IF(AND(T76="stranger",H76="text",ISNUMBER(L76)),L76,"")</f>
        <v/>
      </c>
      <c r="X76" s="25" t="str">
        <f aca="false">IF(AND(T76="stranger",ISNUMBER(M76)),M76,"")</f>
        <v/>
      </c>
      <c r="Y76" s="25" t="str">
        <f aca="false">IF(AND(T76="stranger",H76="voice",ISNUMBER(M76)),M76,"")</f>
        <v/>
      </c>
      <c r="Z76" s="25" t="str">
        <f aca="false">IF(AND(T76="stranger",H76="text",ISNUMBER(M76)),M76,"")</f>
        <v/>
      </c>
      <c r="AA76" s="25" t="str">
        <f aca="false">IF(AND(T76="stranger",ISNUMBER(J76)),J76,"")</f>
        <v/>
      </c>
      <c r="AB76" s="25" t="str">
        <f aca="false">IF(AND(T76="stranger",H76="voice",ISNUMBER(J76)),J76,"")</f>
        <v/>
      </c>
      <c r="AC76" s="25" t="str">
        <f aca="false">IF(AND(T76="stranger",H76="text",ISNUMBER(J76)),J76,"")</f>
        <v/>
      </c>
      <c r="AD76" s="25" t="str">
        <f aca="false">IF(AND(T76="stranger",ISNUMBER(O76)),O76,"")</f>
        <v/>
      </c>
      <c r="AE76" s="25" t="str">
        <f aca="false">IF(AND(T76="stranger",ISNUMBER(P76)),P76,"")</f>
        <v/>
      </c>
      <c r="AF76" s="25" t="str">
        <f aca="false">IF(AND(T76="friends &amp; family",ISNUMBER(L76)),L76,"")</f>
        <v/>
      </c>
      <c r="AG76" s="9"/>
    </row>
    <row r="77" customFormat="false" ht="15" hidden="false" customHeight="tru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25" t="str">
        <f aca="false">IF(AND(T77="stranger",ISNUMBER(L77)),L77,"")</f>
        <v/>
      </c>
      <c r="V77" s="25" t="str">
        <f aca="false">IF(AND(T77="stranger",H77="voice",ISNUMBER(L77)),L77,"")</f>
        <v/>
      </c>
      <c r="W77" s="25" t="str">
        <f aca="false">IF(AND(T77="stranger",H77="text",ISNUMBER(L77)),L77,"")</f>
        <v/>
      </c>
      <c r="X77" s="25" t="str">
        <f aca="false">IF(AND(T77="stranger",ISNUMBER(M77)),M77,"")</f>
        <v/>
      </c>
      <c r="Y77" s="25" t="str">
        <f aca="false">IF(AND(T77="stranger",H77="voice",ISNUMBER(M77)),M77,"")</f>
        <v/>
      </c>
      <c r="Z77" s="25" t="str">
        <f aca="false">IF(AND(T77="stranger",H77="text",ISNUMBER(M77)),M77,"")</f>
        <v/>
      </c>
      <c r="AA77" s="25" t="str">
        <f aca="false">IF(AND(T77="stranger",ISNUMBER(J77)),J77,"")</f>
        <v/>
      </c>
      <c r="AB77" s="25" t="str">
        <f aca="false">IF(AND(T77="stranger",H77="voice",ISNUMBER(J77)),J77,"")</f>
        <v/>
      </c>
      <c r="AC77" s="25" t="str">
        <f aca="false">IF(AND(T77="stranger",H77="text",ISNUMBER(J77)),J77,"")</f>
        <v/>
      </c>
      <c r="AD77" s="25" t="str">
        <f aca="false">IF(AND(T77="stranger",ISNUMBER(O77)),O77,"")</f>
        <v/>
      </c>
      <c r="AE77" s="25" t="str">
        <f aca="false">IF(AND(T77="stranger",ISNUMBER(P77)),P77,"")</f>
        <v/>
      </c>
      <c r="AF77" s="25" t="str">
        <f aca="false">IF(AND(T77="friends &amp; family",ISNUMBER(L77)),L77,"")</f>
        <v/>
      </c>
      <c r="AG77" s="9"/>
    </row>
    <row r="78" customFormat="false" ht="15" hidden="false" customHeight="tru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25" t="str">
        <f aca="false">IF(AND(T78="stranger",ISNUMBER(L78)),L78,"")</f>
        <v/>
      </c>
      <c r="V78" s="25" t="str">
        <f aca="false">IF(AND(T78="stranger",H78="voice",ISNUMBER(L78)),L78,"")</f>
        <v/>
      </c>
      <c r="W78" s="25" t="str">
        <f aca="false">IF(AND(T78="stranger",H78="text",ISNUMBER(L78)),L78,"")</f>
        <v/>
      </c>
      <c r="X78" s="25" t="str">
        <f aca="false">IF(AND(T78="stranger",ISNUMBER(M78)),M78,"")</f>
        <v/>
      </c>
      <c r="Y78" s="25" t="str">
        <f aca="false">IF(AND(T78="stranger",H78="voice",ISNUMBER(M78)),M78,"")</f>
        <v/>
      </c>
      <c r="Z78" s="25" t="str">
        <f aca="false">IF(AND(T78="stranger",H78="text",ISNUMBER(M78)),M78,"")</f>
        <v/>
      </c>
      <c r="AA78" s="25" t="str">
        <f aca="false">IF(AND(T78="stranger",ISNUMBER(J78)),J78,"")</f>
        <v/>
      </c>
      <c r="AB78" s="25" t="str">
        <f aca="false">IF(AND(T78="stranger",H78="voice",ISNUMBER(J78)),J78,"")</f>
        <v/>
      </c>
      <c r="AC78" s="25" t="str">
        <f aca="false">IF(AND(T78="stranger",H78="text",ISNUMBER(J78)),J78,"")</f>
        <v/>
      </c>
      <c r="AD78" s="25" t="str">
        <f aca="false">IF(AND(T78="stranger",ISNUMBER(O78)),O78,"")</f>
        <v/>
      </c>
      <c r="AE78" s="25" t="str">
        <f aca="false">IF(AND(T78="stranger",ISNUMBER(P78)),P78,"")</f>
        <v/>
      </c>
      <c r="AF78" s="25" t="str">
        <f aca="false">IF(AND(T78="friends &amp; family",ISNUMBER(L78)),L78,"")</f>
        <v/>
      </c>
      <c r="AG78" s="9"/>
    </row>
    <row r="79" customFormat="false" ht="15" hidden="false" customHeight="tru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25" t="str">
        <f aca="false">IF(AND(T79="stranger",ISNUMBER(L79)),L79,"")</f>
        <v/>
      </c>
      <c r="V79" s="25" t="str">
        <f aca="false">IF(AND(T79="stranger",H79="voice",ISNUMBER(L79)),L79,"")</f>
        <v/>
      </c>
      <c r="W79" s="25" t="str">
        <f aca="false">IF(AND(T79="stranger",H79="text",ISNUMBER(L79)),L79,"")</f>
        <v/>
      </c>
      <c r="X79" s="25" t="str">
        <f aca="false">IF(AND(T79="stranger",ISNUMBER(M79)),M79,"")</f>
        <v/>
      </c>
      <c r="Y79" s="25" t="str">
        <f aca="false">IF(AND(T79="stranger",H79="voice",ISNUMBER(M79)),M79,"")</f>
        <v/>
      </c>
      <c r="Z79" s="25" t="str">
        <f aca="false">IF(AND(T79="stranger",H79="text",ISNUMBER(M79)),M79,"")</f>
        <v/>
      </c>
      <c r="AA79" s="25" t="str">
        <f aca="false">IF(AND(T79="stranger",ISNUMBER(J79)),J79,"")</f>
        <v/>
      </c>
      <c r="AB79" s="25" t="str">
        <f aca="false">IF(AND(T79="stranger",H79="voice",ISNUMBER(J79)),J79,"")</f>
        <v/>
      </c>
      <c r="AC79" s="25" t="str">
        <f aca="false">IF(AND(T79="stranger",H79="text",ISNUMBER(J79)),J79,"")</f>
        <v/>
      </c>
      <c r="AD79" s="25" t="str">
        <f aca="false">IF(AND(T79="stranger",ISNUMBER(O79)),O79,"")</f>
        <v/>
      </c>
      <c r="AE79" s="25" t="str">
        <f aca="false">IF(AND(T79="stranger",ISNUMBER(P79)),P79,"")</f>
        <v/>
      </c>
      <c r="AF79" s="25" t="str">
        <f aca="false">IF(AND(T79="friends &amp; family",ISNUMBER(L79)),L79,"")</f>
        <v/>
      </c>
      <c r="AG79" s="9"/>
    </row>
    <row r="80" customFormat="false" ht="15" hidden="false" customHeight="tru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25" t="str">
        <f aca="false">IF(AND(T80="stranger",ISNUMBER(L80)),L80,"")</f>
        <v/>
      </c>
      <c r="V80" s="25" t="str">
        <f aca="false">IF(AND(T80="stranger",H80="voice",ISNUMBER(L80)),L80,"")</f>
        <v/>
      </c>
      <c r="W80" s="25" t="str">
        <f aca="false">IF(AND(T80="stranger",H80="text",ISNUMBER(L80)),L80,"")</f>
        <v/>
      </c>
      <c r="X80" s="25" t="str">
        <f aca="false">IF(AND(T80="stranger",ISNUMBER(M80)),M80,"")</f>
        <v/>
      </c>
      <c r="Y80" s="25" t="str">
        <f aca="false">IF(AND(T80="stranger",H80="voice",ISNUMBER(M80)),M80,"")</f>
        <v/>
      </c>
      <c r="Z80" s="25" t="str">
        <f aca="false">IF(AND(T80="stranger",H80="text",ISNUMBER(M80)),M80,"")</f>
        <v/>
      </c>
      <c r="AA80" s="25" t="str">
        <f aca="false">IF(AND(T80="stranger",ISNUMBER(J80)),J80,"")</f>
        <v/>
      </c>
      <c r="AB80" s="25" t="str">
        <f aca="false">IF(AND(T80="stranger",H80="voice",ISNUMBER(J80)),J80,"")</f>
        <v/>
      </c>
      <c r="AC80" s="25" t="str">
        <f aca="false">IF(AND(T80="stranger",H80="text",ISNUMBER(J80)),J80,"")</f>
        <v/>
      </c>
      <c r="AD80" s="25" t="str">
        <f aca="false">IF(AND(T80="stranger",ISNUMBER(O80)),O80,"")</f>
        <v/>
      </c>
      <c r="AE80" s="25" t="str">
        <f aca="false">IF(AND(T80="stranger",ISNUMBER(P80)),P80,"")</f>
        <v/>
      </c>
      <c r="AF80" s="25" t="str">
        <f aca="false">IF(AND(T80="friends &amp; family",ISNUMBER(L80)),L80,"")</f>
        <v/>
      </c>
      <c r="AG80" s="9"/>
    </row>
    <row r="81" customFormat="false" ht="15" hidden="false" customHeight="tru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25" t="str">
        <f aca="false">IF(AND(T81="stranger",ISNUMBER(L81)),L81,"")</f>
        <v/>
      </c>
      <c r="V81" s="25" t="str">
        <f aca="false">IF(AND(T81="stranger",H81="voice",ISNUMBER(L81)),L81,"")</f>
        <v/>
      </c>
      <c r="W81" s="25" t="str">
        <f aca="false">IF(AND(T81="stranger",H81="text",ISNUMBER(L81)),L81,"")</f>
        <v/>
      </c>
      <c r="X81" s="25" t="str">
        <f aca="false">IF(AND(T81="stranger",ISNUMBER(M81)),M81,"")</f>
        <v/>
      </c>
      <c r="Y81" s="25" t="str">
        <f aca="false">IF(AND(T81="stranger",H81="voice",ISNUMBER(M81)),M81,"")</f>
        <v/>
      </c>
      <c r="Z81" s="25" t="str">
        <f aca="false">IF(AND(T81="stranger",H81="text",ISNUMBER(M81)),M81,"")</f>
        <v/>
      </c>
      <c r="AA81" s="25" t="str">
        <f aca="false">IF(AND(T81="stranger",ISNUMBER(J81)),J81,"")</f>
        <v/>
      </c>
      <c r="AB81" s="25" t="str">
        <f aca="false">IF(AND(T81="stranger",H81="voice",ISNUMBER(J81)),J81,"")</f>
        <v/>
      </c>
      <c r="AC81" s="25" t="str">
        <f aca="false">IF(AND(T81="stranger",H81="text",ISNUMBER(J81)),J81,"")</f>
        <v/>
      </c>
      <c r="AD81" s="25" t="str">
        <f aca="false">IF(AND(T81="stranger",ISNUMBER(O81)),O81,"")</f>
        <v/>
      </c>
      <c r="AE81" s="25" t="str">
        <f aca="false">IF(AND(T81="stranger",ISNUMBER(P81)),P81,"")</f>
        <v/>
      </c>
      <c r="AF81" s="25" t="str">
        <f aca="false">IF(AND(T81="friends &amp; family",ISNUMBER(L81)),L81,"")</f>
        <v/>
      </c>
      <c r="AG81" s="9"/>
    </row>
    <row r="82" customFormat="false" ht="15" hidden="false" customHeight="tru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25" t="str">
        <f aca="false">IF(AND(T82="stranger",ISNUMBER(L82)),L82,"")</f>
        <v/>
      </c>
      <c r="V82" s="25" t="str">
        <f aca="false">IF(AND(T82="stranger",H82="voice",ISNUMBER(L82)),L82,"")</f>
        <v/>
      </c>
      <c r="W82" s="25" t="str">
        <f aca="false">IF(AND(T82="stranger",H82="text",ISNUMBER(L82)),L82,"")</f>
        <v/>
      </c>
      <c r="X82" s="25" t="str">
        <f aca="false">IF(AND(T82="stranger",ISNUMBER(M82)),M82,"")</f>
        <v/>
      </c>
      <c r="Y82" s="25" t="str">
        <f aca="false">IF(AND(T82="stranger",H82="voice",ISNUMBER(M82)),M82,"")</f>
        <v/>
      </c>
      <c r="Z82" s="25" t="str">
        <f aca="false">IF(AND(T82="stranger",H82="text",ISNUMBER(M82)),M82,"")</f>
        <v/>
      </c>
      <c r="AA82" s="25" t="str">
        <f aca="false">IF(AND(T82="stranger",ISNUMBER(J82)),J82,"")</f>
        <v/>
      </c>
      <c r="AB82" s="25" t="str">
        <f aca="false">IF(AND(T82="stranger",H82="voice",ISNUMBER(J82)),J82,"")</f>
        <v/>
      </c>
      <c r="AC82" s="25" t="str">
        <f aca="false">IF(AND(T82="stranger",H82="text",ISNUMBER(J82)),J82,"")</f>
        <v/>
      </c>
      <c r="AD82" s="25" t="str">
        <f aca="false">IF(AND(T82="stranger",ISNUMBER(O82)),O82,"")</f>
        <v/>
      </c>
      <c r="AE82" s="25" t="str">
        <f aca="false">IF(AND(T82="stranger",ISNUMBER(P82)),P82,"")</f>
        <v/>
      </c>
      <c r="AF82" s="25" t="str">
        <f aca="false">IF(AND(T82="friends &amp; family",ISNUMBER(L82)),L82,"")</f>
        <v/>
      </c>
      <c r="AG82" s="9"/>
    </row>
    <row r="83" customFormat="false" ht="15" hidden="false" customHeight="tru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25" t="str">
        <f aca="false">IF(AND(T83="stranger",ISNUMBER(L83)),L83,"")</f>
        <v/>
      </c>
      <c r="V83" s="25" t="str">
        <f aca="false">IF(AND(T83="stranger",H83="voice",ISNUMBER(L83)),L83,"")</f>
        <v/>
      </c>
      <c r="W83" s="25" t="str">
        <f aca="false">IF(AND(T83="stranger",H83="text",ISNUMBER(L83)),L83,"")</f>
        <v/>
      </c>
      <c r="X83" s="25" t="str">
        <f aca="false">IF(AND(T83="stranger",ISNUMBER(M83)),M83,"")</f>
        <v/>
      </c>
      <c r="Y83" s="25" t="str">
        <f aca="false">IF(AND(T83="stranger",H83="voice",ISNUMBER(M83)),M83,"")</f>
        <v/>
      </c>
      <c r="Z83" s="25" t="str">
        <f aca="false">IF(AND(T83="stranger",H83="text",ISNUMBER(M83)),M83,"")</f>
        <v/>
      </c>
      <c r="AA83" s="25" t="str">
        <f aca="false">IF(AND(T83="stranger",ISNUMBER(J83)),J83,"")</f>
        <v/>
      </c>
      <c r="AB83" s="25" t="str">
        <f aca="false">IF(AND(T83="stranger",H83="voice",ISNUMBER(J83)),J83,"")</f>
        <v/>
      </c>
      <c r="AC83" s="25" t="str">
        <f aca="false">IF(AND(T83="stranger",H83="text",ISNUMBER(J83)),J83,"")</f>
        <v/>
      </c>
      <c r="AD83" s="25" t="str">
        <f aca="false">IF(AND(T83="stranger",ISNUMBER(O83)),O83,"")</f>
        <v/>
      </c>
      <c r="AE83" s="25" t="str">
        <f aca="false">IF(AND(T83="stranger",ISNUMBER(P83)),P83,"")</f>
        <v/>
      </c>
      <c r="AF83" s="25" t="str">
        <f aca="false">IF(AND(T83="friends &amp; family",ISNUMBER(L83)),L83,"")</f>
        <v/>
      </c>
      <c r="AG83" s="9"/>
    </row>
    <row r="84" customFormat="false" ht="15" hidden="false" customHeight="tru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25" t="str">
        <f aca="false">IF(AND(T84="stranger",ISNUMBER(L84)),L84,"")</f>
        <v/>
      </c>
      <c r="V84" s="25" t="str">
        <f aca="false">IF(AND(T84="stranger",H84="voice",ISNUMBER(L84)),L84,"")</f>
        <v/>
      </c>
      <c r="W84" s="25" t="str">
        <f aca="false">IF(AND(T84="stranger",H84="text",ISNUMBER(L84)),L84,"")</f>
        <v/>
      </c>
      <c r="X84" s="25" t="str">
        <f aca="false">IF(AND(T84="stranger",ISNUMBER(M84)),M84,"")</f>
        <v/>
      </c>
      <c r="Y84" s="25" t="str">
        <f aca="false">IF(AND(T84="stranger",H84="voice",ISNUMBER(M84)),M84,"")</f>
        <v/>
      </c>
      <c r="Z84" s="25" t="str">
        <f aca="false">IF(AND(T84="stranger",H84="text",ISNUMBER(M84)),M84,"")</f>
        <v/>
      </c>
      <c r="AA84" s="25" t="str">
        <f aca="false">IF(AND(T84="stranger",ISNUMBER(J84)),J84,"")</f>
        <v/>
      </c>
      <c r="AB84" s="25" t="str">
        <f aca="false">IF(AND(T84="stranger",H84="voice",ISNUMBER(J84)),J84,"")</f>
        <v/>
      </c>
      <c r="AC84" s="25" t="str">
        <f aca="false">IF(AND(T84="stranger",H84="text",ISNUMBER(J84)),J84,"")</f>
        <v/>
      </c>
      <c r="AD84" s="25" t="str">
        <f aca="false">IF(AND(T84="stranger",ISNUMBER(O84)),O84,"")</f>
        <v/>
      </c>
      <c r="AE84" s="25" t="str">
        <f aca="false">IF(AND(T84="stranger",ISNUMBER(P84)),P84,"")</f>
        <v/>
      </c>
      <c r="AF84" s="25" t="str">
        <f aca="false">IF(AND(T84="friends &amp; family",ISNUMBER(L84)),L84,"")</f>
        <v/>
      </c>
      <c r="AG84" s="9"/>
    </row>
    <row r="85" customFormat="false" ht="15" hidden="false" customHeight="tru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25" t="str">
        <f aca="false">IF(AND(T85="stranger",ISNUMBER(L85)),L85,"")</f>
        <v/>
      </c>
      <c r="V85" s="25" t="str">
        <f aca="false">IF(AND(T85="stranger",H85="voice",ISNUMBER(L85)),L85,"")</f>
        <v/>
      </c>
      <c r="W85" s="25" t="str">
        <f aca="false">IF(AND(T85="stranger",H85="text",ISNUMBER(L85)),L85,"")</f>
        <v/>
      </c>
      <c r="X85" s="25" t="str">
        <f aca="false">IF(AND(T85="stranger",ISNUMBER(M85)),M85,"")</f>
        <v/>
      </c>
      <c r="Y85" s="25" t="str">
        <f aca="false">IF(AND(T85="stranger",H85="voice",ISNUMBER(M85)),M85,"")</f>
        <v/>
      </c>
      <c r="Z85" s="25" t="str">
        <f aca="false">IF(AND(T85="stranger",H85="text",ISNUMBER(M85)),M85,"")</f>
        <v/>
      </c>
      <c r="AA85" s="25" t="str">
        <f aca="false">IF(AND(T85="stranger",ISNUMBER(J85)),J85,"")</f>
        <v/>
      </c>
      <c r="AB85" s="25" t="str">
        <f aca="false">IF(AND(T85="stranger",H85="voice",ISNUMBER(J85)),J85,"")</f>
        <v/>
      </c>
      <c r="AC85" s="25" t="str">
        <f aca="false">IF(AND(T85="stranger",H85="text",ISNUMBER(J85)),J85,"")</f>
        <v/>
      </c>
      <c r="AD85" s="25" t="str">
        <f aca="false">IF(AND(T85="stranger",ISNUMBER(O85)),O85,"")</f>
        <v/>
      </c>
      <c r="AE85" s="25" t="str">
        <f aca="false">IF(AND(T85="stranger",ISNUMBER(P85)),P85,"")</f>
        <v/>
      </c>
      <c r="AF85" s="25" t="str">
        <f aca="false">IF(AND(T85="friends &amp; family",ISNUMBER(L85)),L85,"")</f>
        <v/>
      </c>
      <c r="AG85" s="9"/>
    </row>
    <row r="86" customFormat="false" ht="15" hidden="false" customHeight="tru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25" t="str">
        <f aca="false">IF(AND(T86="stranger",ISNUMBER(L86)),L86,"")</f>
        <v/>
      </c>
      <c r="V86" s="25" t="str">
        <f aca="false">IF(AND(T86="stranger",H86="voice",ISNUMBER(L86)),L86,"")</f>
        <v/>
      </c>
      <c r="W86" s="25" t="str">
        <f aca="false">IF(AND(T86="stranger",H86="text",ISNUMBER(L86)),L86,"")</f>
        <v/>
      </c>
      <c r="X86" s="25" t="str">
        <f aca="false">IF(AND(T86="stranger",ISNUMBER(M86)),M86,"")</f>
        <v/>
      </c>
      <c r="Y86" s="25" t="str">
        <f aca="false">IF(AND(T86="stranger",H86="voice",ISNUMBER(M86)),M86,"")</f>
        <v/>
      </c>
      <c r="Z86" s="25" t="str">
        <f aca="false">IF(AND(T86="stranger",H86="text",ISNUMBER(M86)),M86,"")</f>
        <v/>
      </c>
      <c r="AA86" s="25" t="str">
        <f aca="false">IF(AND(T86="stranger",ISNUMBER(J86)),J86,"")</f>
        <v/>
      </c>
      <c r="AB86" s="25" t="str">
        <f aca="false">IF(AND(T86="stranger",H86="voice",ISNUMBER(J86)),J86,"")</f>
        <v/>
      </c>
      <c r="AC86" s="25" t="str">
        <f aca="false">IF(AND(T86="stranger",H86="text",ISNUMBER(J86)),J86,"")</f>
        <v/>
      </c>
      <c r="AD86" s="25" t="str">
        <f aca="false">IF(AND(T86="stranger",ISNUMBER(O86)),O86,"")</f>
        <v/>
      </c>
      <c r="AE86" s="25" t="str">
        <f aca="false">IF(AND(T86="stranger",ISNUMBER(P86)),P86,"")</f>
        <v/>
      </c>
      <c r="AF86" s="25" t="str">
        <f aca="false">IF(AND(T86="friends &amp; family",ISNUMBER(L86)),L86,"")</f>
        <v/>
      </c>
      <c r="AG86" s="9"/>
    </row>
    <row r="87" customFormat="false" ht="15" hidden="false" customHeight="tru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25" t="str">
        <f aca="false">IF(AND(T87="stranger",ISNUMBER(L87)),L87,"")</f>
        <v/>
      </c>
      <c r="V87" s="25" t="str">
        <f aca="false">IF(AND(T87="stranger",H87="voice",ISNUMBER(L87)),L87,"")</f>
        <v/>
      </c>
      <c r="W87" s="25" t="str">
        <f aca="false">IF(AND(T87="stranger",H87="text",ISNUMBER(L87)),L87,"")</f>
        <v/>
      </c>
      <c r="X87" s="25" t="str">
        <f aca="false">IF(AND(T87="stranger",ISNUMBER(M87)),M87,"")</f>
        <v/>
      </c>
      <c r="Y87" s="25" t="str">
        <f aca="false">IF(AND(T87="stranger",H87="voice",ISNUMBER(M87)),M87,"")</f>
        <v/>
      </c>
      <c r="Z87" s="25" t="str">
        <f aca="false">IF(AND(T87="stranger",H87="text",ISNUMBER(M87)),M87,"")</f>
        <v/>
      </c>
      <c r="AA87" s="25" t="str">
        <f aca="false">IF(AND(T87="stranger",ISNUMBER(J87)),J87,"")</f>
        <v/>
      </c>
      <c r="AB87" s="25" t="str">
        <f aca="false">IF(AND(T87="stranger",H87="voice",ISNUMBER(J87)),J87,"")</f>
        <v/>
      </c>
      <c r="AC87" s="25" t="str">
        <f aca="false">IF(AND(T87="stranger",H87="text",ISNUMBER(J87)),J87,"")</f>
        <v/>
      </c>
      <c r="AD87" s="25" t="str">
        <f aca="false">IF(AND(T87="stranger",ISNUMBER(O87)),O87,"")</f>
        <v/>
      </c>
      <c r="AE87" s="25" t="str">
        <f aca="false">IF(AND(T87="stranger",ISNUMBER(P87)),P87,"")</f>
        <v/>
      </c>
      <c r="AF87" s="25" t="str">
        <f aca="false">IF(AND(T87="friends &amp; family",ISNUMBER(L87)),L87,"")</f>
        <v/>
      </c>
      <c r="AG87" s="9"/>
    </row>
    <row r="88" customFormat="false" ht="15" hidden="false" customHeight="tru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25" t="str">
        <f aca="false">IF(AND(T88="stranger",ISNUMBER(L88)),L88,"")</f>
        <v/>
      </c>
      <c r="V88" s="25" t="str">
        <f aca="false">IF(AND(T88="stranger",H88="voice",ISNUMBER(L88)),L88,"")</f>
        <v/>
      </c>
      <c r="W88" s="25" t="str">
        <f aca="false">IF(AND(T88="stranger",H88="text",ISNUMBER(L88)),L88,"")</f>
        <v/>
      </c>
      <c r="X88" s="25" t="str">
        <f aca="false">IF(AND(T88="stranger",ISNUMBER(M88)),M88,"")</f>
        <v/>
      </c>
      <c r="Y88" s="25" t="str">
        <f aca="false">IF(AND(T88="stranger",H88="voice",ISNUMBER(M88)),M88,"")</f>
        <v/>
      </c>
      <c r="Z88" s="25" t="str">
        <f aca="false">IF(AND(T88="stranger",H88="text",ISNUMBER(M88)),M88,"")</f>
        <v/>
      </c>
      <c r="AA88" s="25" t="str">
        <f aca="false">IF(AND(T88="stranger",ISNUMBER(J88)),J88,"")</f>
        <v/>
      </c>
      <c r="AB88" s="25" t="str">
        <f aca="false">IF(AND(T88="stranger",H88="voice",ISNUMBER(J88)),J88,"")</f>
        <v/>
      </c>
      <c r="AC88" s="25" t="str">
        <f aca="false">IF(AND(T88="stranger",H88="text",ISNUMBER(J88)),J88,"")</f>
        <v/>
      </c>
      <c r="AD88" s="25" t="str">
        <f aca="false">IF(AND(T88="stranger",ISNUMBER(O88)),O88,"")</f>
        <v/>
      </c>
      <c r="AE88" s="25" t="str">
        <f aca="false">IF(AND(T88="stranger",ISNUMBER(P88)),P88,"")</f>
        <v/>
      </c>
      <c r="AF88" s="25" t="str">
        <f aca="false">IF(AND(T88="friends &amp; family",ISNUMBER(L88)),L88,"")</f>
        <v/>
      </c>
      <c r="AG88" s="9"/>
    </row>
    <row r="89" customFormat="false" ht="15" hidden="false" customHeight="tru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25" t="str">
        <f aca="false">IF(AND(T89="stranger",ISNUMBER(L89)),L89,"")</f>
        <v/>
      </c>
      <c r="V89" s="25" t="str">
        <f aca="false">IF(AND(T89="stranger",H89="voice",ISNUMBER(L89)),L89,"")</f>
        <v/>
      </c>
      <c r="W89" s="25" t="str">
        <f aca="false">IF(AND(T89="stranger",H89="text",ISNUMBER(L89)),L89,"")</f>
        <v/>
      </c>
      <c r="X89" s="25" t="str">
        <f aca="false">IF(AND(T89="stranger",ISNUMBER(M89)),M89,"")</f>
        <v/>
      </c>
      <c r="Y89" s="25" t="str">
        <f aca="false">IF(AND(T89="stranger",H89="voice",ISNUMBER(M89)),M89,"")</f>
        <v/>
      </c>
      <c r="Z89" s="25" t="str">
        <f aca="false">IF(AND(T89="stranger",H89="text",ISNUMBER(M89)),M89,"")</f>
        <v/>
      </c>
      <c r="AA89" s="25" t="str">
        <f aca="false">IF(AND(T89="stranger",ISNUMBER(J89)),J89,"")</f>
        <v/>
      </c>
      <c r="AB89" s="25" t="str">
        <f aca="false">IF(AND(T89="stranger",H89="voice",ISNUMBER(J89)),J89,"")</f>
        <v/>
      </c>
      <c r="AC89" s="25" t="str">
        <f aca="false">IF(AND(T89="stranger",H89="text",ISNUMBER(J89)),J89,"")</f>
        <v/>
      </c>
      <c r="AD89" s="25" t="str">
        <f aca="false">IF(AND(T89="stranger",ISNUMBER(O89)),O89,"")</f>
        <v/>
      </c>
      <c r="AE89" s="25" t="str">
        <f aca="false">IF(AND(T89="stranger",ISNUMBER(P89)),P89,"")</f>
        <v/>
      </c>
      <c r="AF89" s="25" t="str">
        <f aca="false">IF(AND(T89="friends &amp; family",ISNUMBER(L89)),L89,"")</f>
        <v/>
      </c>
      <c r="AG89" s="9"/>
    </row>
    <row r="90" customFormat="false" ht="15" hidden="false" customHeight="tru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25" t="str">
        <f aca="false">IF(AND(T90="stranger",ISNUMBER(L90)),L90,"")</f>
        <v/>
      </c>
      <c r="V90" s="25" t="str">
        <f aca="false">IF(AND(T90="stranger",H90="voice",ISNUMBER(L90)),L90,"")</f>
        <v/>
      </c>
      <c r="W90" s="25" t="str">
        <f aca="false">IF(AND(T90="stranger",H90="text",ISNUMBER(L90)),L90,"")</f>
        <v/>
      </c>
      <c r="X90" s="25" t="str">
        <f aca="false">IF(AND(T90="stranger",ISNUMBER(M90)),M90,"")</f>
        <v/>
      </c>
      <c r="Y90" s="25" t="str">
        <f aca="false">IF(AND(T90="stranger",H90="voice",ISNUMBER(M90)),M90,"")</f>
        <v/>
      </c>
      <c r="Z90" s="25" t="str">
        <f aca="false">IF(AND(T90="stranger",H90="text",ISNUMBER(M90)),M90,"")</f>
        <v/>
      </c>
      <c r="AA90" s="25" t="str">
        <f aca="false">IF(AND(T90="stranger",ISNUMBER(J90)),J90,"")</f>
        <v/>
      </c>
      <c r="AB90" s="25" t="str">
        <f aca="false">IF(AND(T90="stranger",H90="voice",ISNUMBER(J90)),J90,"")</f>
        <v/>
      </c>
      <c r="AC90" s="25" t="str">
        <f aca="false">IF(AND(T90="stranger",H90="text",ISNUMBER(J90)),J90,"")</f>
        <v/>
      </c>
      <c r="AD90" s="25" t="str">
        <f aca="false">IF(AND(T90="stranger",ISNUMBER(O90)),O90,"")</f>
        <v/>
      </c>
      <c r="AE90" s="25" t="str">
        <f aca="false">IF(AND(T90="stranger",ISNUMBER(P90)),P90,"")</f>
        <v/>
      </c>
      <c r="AF90" s="25" t="str">
        <f aca="false">IF(AND(T90="friends &amp; family",ISNUMBER(L90)),L90,"")</f>
        <v/>
      </c>
      <c r="AG90" s="9"/>
    </row>
    <row r="91" customFormat="false" ht="15" hidden="false" customHeight="tru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25" t="str">
        <f aca="false">IF(AND(T91="stranger",ISNUMBER(L91)),L91,"")</f>
        <v/>
      </c>
      <c r="V91" s="25" t="str">
        <f aca="false">IF(AND(T91="stranger",H91="voice",ISNUMBER(L91)),L91,"")</f>
        <v/>
      </c>
      <c r="W91" s="25" t="str">
        <f aca="false">IF(AND(T91="stranger",H91="text",ISNUMBER(L91)),L91,"")</f>
        <v/>
      </c>
      <c r="X91" s="25" t="str">
        <f aca="false">IF(AND(T91="stranger",ISNUMBER(M91)),M91,"")</f>
        <v/>
      </c>
      <c r="Y91" s="25" t="str">
        <f aca="false">IF(AND(T91="stranger",H91="voice",ISNUMBER(M91)),M91,"")</f>
        <v/>
      </c>
      <c r="Z91" s="25" t="str">
        <f aca="false">IF(AND(T91="stranger",H91="text",ISNUMBER(M91)),M91,"")</f>
        <v/>
      </c>
      <c r="AA91" s="25" t="str">
        <f aca="false">IF(AND(T91="stranger",ISNUMBER(J91)),J91,"")</f>
        <v/>
      </c>
      <c r="AB91" s="25" t="str">
        <f aca="false">IF(AND(T91="stranger",H91="voice",ISNUMBER(J91)),J91,"")</f>
        <v/>
      </c>
      <c r="AC91" s="25" t="str">
        <f aca="false">IF(AND(T91="stranger",H91="text",ISNUMBER(J91)),J91,"")</f>
        <v/>
      </c>
      <c r="AD91" s="25" t="str">
        <f aca="false">IF(AND(T91="stranger",ISNUMBER(O91)),O91,"")</f>
        <v/>
      </c>
      <c r="AE91" s="25" t="str">
        <f aca="false">IF(AND(T91="stranger",ISNUMBER(P91)),P91,"")</f>
        <v/>
      </c>
      <c r="AF91" s="25" t="str">
        <f aca="false">IF(AND(T91="friends &amp; family",ISNUMBER(L91)),L91,"")</f>
        <v/>
      </c>
      <c r="AG91" s="9"/>
    </row>
    <row r="92" customFormat="false" ht="15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25" t="str">
        <f aca="false">IF(AND(T92="stranger",ISNUMBER(L92)),L92,"")</f>
        <v/>
      </c>
      <c r="V92" s="25" t="str">
        <f aca="false">IF(AND(T92="stranger",H92="voice",ISNUMBER(L92)),L92,"")</f>
        <v/>
      </c>
      <c r="W92" s="25" t="str">
        <f aca="false">IF(AND(T92="stranger",H92="text",ISNUMBER(L92)),L92,"")</f>
        <v/>
      </c>
      <c r="X92" s="25" t="str">
        <f aca="false">IF(AND(T92="stranger",ISNUMBER(M92)),M92,"")</f>
        <v/>
      </c>
      <c r="Y92" s="25" t="str">
        <f aca="false">IF(AND(T92="stranger",H92="voice",ISNUMBER(M92)),M92,"")</f>
        <v/>
      </c>
      <c r="Z92" s="25" t="str">
        <f aca="false">IF(AND(T92="stranger",H92="text",ISNUMBER(M92)),M92,"")</f>
        <v/>
      </c>
      <c r="AA92" s="25" t="str">
        <f aca="false">IF(AND(T92="stranger",ISNUMBER(J92)),J92,"")</f>
        <v/>
      </c>
      <c r="AB92" s="25" t="str">
        <f aca="false">IF(AND(T92="stranger",H92="voice",ISNUMBER(J92)),J92,"")</f>
        <v/>
      </c>
      <c r="AC92" s="25" t="str">
        <f aca="false">IF(AND(T92="stranger",H92="text",ISNUMBER(J92)),J92,"")</f>
        <v/>
      </c>
      <c r="AD92" s="25" t="str">
        <f aca="false">IF(AND(T92="stranger",ISNUMBER(O92)),O92,"")</f>
        <v/>
      </c>
      <c r="AE92" s="25" t="str">
        <f aca="false">IF(AND(T92="stranger",ISNUMBER(P92)),P92,"")</f>
        <v/>
      </c>
      <c r="AF92" s="25" t="str">
        <f aca="false">IF(AND(T92="friends &amp; family",ISNUMBER(L92)),L92,"")</f>
        <v/>
      </c>
      <c r="AG92" s="9"/>
    </row>
    <row r="93" customFormat="false" ht="15" hidden="false" customHeight="tru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25" t="str">
        <f aca="false">IF(AND(T93="stranger",ISNUMBER(L93)),L93,"")</f>
        <v/>
      </c>
      <c r="V93" s="25" t="str">
        <f aca="false">IF(AND(T93="stranger",H93="voice",ISNUMBER(L93)),L93,"")</f>
        <v/>
      </c>
      <c r="W93" s="25" t="str">
        <f aca="false">IF(AND(T93="stranger",H93="text",ISNUMBER(L93)),L93,"")</f>
        <v/>
      </c>
      <c r="X93" s="25" t="str">
        <f aca="false">IF(AND(T93="stranger",ISNUMBER(M93)),M93,"")</f>
        <v/>
      </c>
      <c r="Y93" s="25" t="str">
        <f aca="false">IF(AND(T93="stranger",H93="voice",ISNUMBER(M93)),M93,"")</f>
        <v/>
      </c>
      <c r="Z93" s="25" t="str">
        <f aca="false">IF(AND(T93="stranger",H93="text",ISNUMBER(M93)),M93,"")</f>
        <v/>
      </c>
      <c r="AA93" s="25" t="str">
        <f aca="false">IF(AND(T93="stranger",ISNUMBER(J93)),J93,"")</f>
        <v/>
      </c>
      <c r="AB93" s="25" t="str">
        <f aca="false">IF(AND(T93="stranger",H93="voice",ISNUMBER(J93)),J93,"")</f>
        <v/>
      </c>
      <c r="AC93" s="25" t="str">
        <f aca="false">IF(AND(T93="stranger",H93="text",ISNUMBER(J93)),J93,"")</f>
        <v/>
      </c>
      <c r="AD93" s="25" t="str">
        <f aca="false">IF(AND(T93="stranger",ISNUMBER(O93)),O93,"")</f>
        <v/>
      </c>
      <c r="AE93" s="25" t="str">
        <f aca="false">IF(AND(T93="stranger",ISNUMBER(P93)),P93,"")</f>
        <v/>
      </c>
      <c r="AF93" s="25" t="str">
        <f aca="false">IF(AND(T93="friends &amp; family",ISNUMBER(L93)),L93,"")</f>
        <v/>
      </c>
      <c r="AG93" s="9"/>
    </row>
    <row r="94" customFormat="false" ht="15" hidden="false" customHeight="tru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25" t="str">
        <f aca="false">IF(AND(T94="stranger",ISNUMBER(L94)),L94,"")</f>
        <v/>
      </c>
      <c r="V94" s="25" t="str">
        <f aca="false">IF(AND(T94="stranger",H94="voice",ISNUMBER(L94)),L94,"")</f>
        <v/>
      </c>
      <c r="W94" s="25" t="str">
        <f aca="false">IF(AND(T94="stranger",H94="text",ISNUMBER(L94)),L94,"")</f>
        <v/>
      </c>
      <c r="X94" s="25" t="str">
        <f aca="false">IF(AND(T94="stranger",ISNUMBER(M94)),M94,"")</f>
        <v/>
      </c>
      <c r="Y94" s="25" t="str">
        <f aca="false">IF(AND(T94="stranger",H94="voice",ISNUMBER(M94)),M94,"")</f>
        <v/>
      </c>
      <c r="Z94" s="25" t="str">
        <f aca="false">IF(AND(T94="stranger",H94="text",ISNUMBER(M94)),M94,"")</f>
        <v/>
      </c>
      <c r="AA94" s="25" t="str">
        <f aca="false">IF(AND(T94="stranger",ISNUMBER(J94)),J94,"")</f>
        <v/>
      </c>
      <c r="AB94" s="25" t="str">
        <f aca="false">IF(AND(T94="stranger",H94="voice",ISNUMBER(J94)),J94,"")</f>
        <v/>
      </c>
      <c r="AC94" s="25" t="str">
        <f aca="false">IF(AND(T94="stranger",H94="text",ISNUMBER(J94)),J94,"")</f>
        <v/>
      </c>
      <c r="AD94" s="25" t="str">
        <f aca="false">IF(AND(T94="stranger",ISNUMBER(O94)),O94,"")</f>
        <v/>
      </c>
      <c r="AE94" s="25" t="str">
        <f aca="false">IF(AND(T94="stranger",ISNUMBER(P94)),P94,"")</f>
        <v/>
      </c>
      <c r="AF94" s="25" t="str">
        <f aca="false">IF(AND(T94="friends &amp; family",ISNUMBER(L94)),L94,"")</f>
        <v/>
      </c>
      <c r="AG94" s="9"/>
    </row>
    <row r="95" customFormat="false" ht="15" hidden="false" customHeight="tru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25" t="str">
        <f aca="false">IF(AND(T95="stranger",ISNUMBER(L95)),L95,"")</f>
        <v/>
      </c>
      <c r="V95" s="25" t="str">
        <f aca="false">IF(AND(T95="stranger",H95="voice",ISNUMBER(L95)),L95,"")</f>
        <v/>
      </c>
      <c r="W95" s="25" t="str">
        <f aca="false">IF(AND(T95="stranger",H95="text",ISNUMBER(L95)),L95,"")</f>
        <v/>
      </c>
      <c r="X95" s="25" t="str">
        <f aca="false">IF(AND(T95="stranger",ISNUMBER(M95)),M95,"")</f>
        <v/>
      </c>
      <c r="Y95" s="25" t="str">
        <f aca="false">IF(AND(T95="stranger",H95="voice",ISNUMBER(M95)),M95,"")</f>
        <v/>
      </c>
      <c r="Z95" s="25" t="str">
        <f aca="false">IF(AND(T95="stranger",H95="text",ISNUMBER(M95)),M95,"")</f>
        <v/>
      </c>
      <c r="AA95" s="25" t="str">
        <f aca="false">IF(AND(T95="stranger",ISNUMBER(J95)),J95,"")</f>
        <v/>
      </c>
      <c r="AB95" s="25" t="str">
        <f aca="false">IF(AND(T95="stranger",H95="voice",ISNUMBER(J95)),J95,"")</f>
        <v/>
      </c>
      <c r="AC95" s="25" t="str">
        <f aca="false">IF(AND(T95="stranger",H95="text",ISNUMBER(J95)),J95,"")</f>
        <v/>
      </c>
      <c r="AD95" s="25" t="str">
        <f aca="false">IF(AND(T95="stranger",ISNUMBER(O95)),O95,"")</f>
        <v/>
      </c>
      <c r="AE95" s="25" t="str">
        <f aca="false">IF(AND(T95="stranger",ISNUMBER(P95)),P95,"")</f>
        <v/>
      </c>
      <c r="AF95" s="25" t="str">
        <f aca="false">IF(AND(T95="friends &amp; family",ISNUMBER(L95)),L95,"")</f>
        <v/>
      </c>
      <c r="AG95" s="9"/>
    </row>
    <row r="96" customFormat="false" ht="1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25" t="str">
        <f aca="false">IF(AND(T96="stranger",ISNUMBER(L96)),L96,"")</f>
        <v/>
      </c>
      <c r="V96" s="25" t="str">
        <f aca="false">IF(AND(T96="stranger",H96="voice",ISNUMBER(L96)),L96,"")</f>
        <v/>
      </c>
      <c r="W96" s="25" t="str">
        <f aca="false">IF(AND(T96="stranger",H96="text",ISNUMBER(L96)),L96,"")</f>
        <v/>
      </c>
      <c r="X96" s="25" t="str">
        <f aca="false">IF(AND(T96="stranger",ISNUMBER(M96)),M96,"")</f>
        <v/>
      </c>
      <c r="Y96" s="25" t="str">
        <f aca="false">IF(AND(T96="stranger",H96="voice",ISNUMBER(M96)),M96,"")</f>
        <v/>
      </c>
      <c r="Z96" s="25" t="str">
        <f aca="false">IF(AND(T96="stranger",H96="text",ISNUMBER(M96)),M96,"")</f>
        <v/>
      </c>
      <c r="AA96" s="25" t="str">
        <f aca="false">IF(AND(T96="stranger",ISNUMBER(J96)),J96,"")</f>
        <v/>
      </c>
      <c r="AB96" s="25" t="str">
        <f aca="false">IF(AND(T96="stranger",H96="voice",ISNUMBER(J96)),J96,"")</f>
        <v/>
      </c>
      <c r="AC96" s="25" t="str">
        <f aca="false">IF(AND(T96="stranger",H96="text",ISNUMBER(J96)),J96,"")</f>
        <v/>
      </c>
      <c r="AD96" s="25" t="str">
        <f aca="false">IF(AND(T96="stranger",ISNUMBER(O96)),O96,"")</f>
        <v/>
      </c>
      <c r="AE96" s="25" t="str">
        <f aca="false">IF(AND(T96="stranger",ISNUMBER(P96)),P96,"")</f>
        <v/>
      </c>
      <c r="AF96" s="25" t="str">
        <f aca="false">IF(AND(T96="friends &amp; family",ISNUMBER(L96)),L96,"")</f>
        <v/>
      </c>
      <c r="AG96" s="9"/>
    </row>
    <row r="97" customFormat="false" ht="1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25" t="str">
        <f aca="false">IF(AND(T97="stranger",ISNUMBER(L97)),L97,"")</f>
        <v/>
      </c>
      <c r="V97" s="25" t="str">
        <f aca="false">IF(AND(T97="stranger",H97="voice",ISNUMBER(L97)),L97,"")</f>
        <v/>
      </c>
      <c r="W97" s="25" t="str">
        <f aca="false">IF(AND(T97="stranger",H97="text",ISNUMBER(L97)),L97,"")</f>
        <v/>
      </c>
      <c r="X97" s="25" t="str">
        <f aca="false">IF(AND(T97="stranger",ISNUMBER(M97)),M97,"")</f>
        <v/>
      </c>
      <c r="Y97" s="25" t="str">
        <f aca="false">IF(AND(T97="stranger",H97="voice",ISNUMBER(M97)),M97,"")</f>
        <v/>
      </c>
      <c r="Z97" s="25" t="str">
        <f aca="false">IF(AND(T97="stranger",H97="text",ISNUMBER(M97)),M97,"")</f>
        <v/>
      </c>
      <c r="AA97" s="25" t="str">
        <f aca="false">IF(AND(T97="stranger",ISNUMBER(J97)),J97,"")</f>
        <v/>
      </c>
      <c r="AB97" s="25" t="str">
        <f aca="false">IF(AND(T97="stranger",H97="voice",ISNUMBER(J97)),J97,"")</f>
        <v/>
      </c>
      <c r="AC97" s="25" t="str">
        <f aca="false">IF(AND(T97="stranger",H97="text",ISNUMBER(J97)),J97,"")</f>
        <v/>
      </c>
      <c r="AD97" s="25" t="str">
        <f aca="false">IF(AND(T97="stranger",ISNUMBER(O97)),O97,"")</f>
        <v/>
      </c>
      <c r="AE97" s="25" t="str">
        <f aca="false">IF(AND(T97="stranger",ISNUMBER(P97)),P97,"")</f>
        <v/>
      </c>
      <c r="AF97" s="25" t="str">
        <f aca="false">IF(AND(T97="friends &amp; family",ISNUMBER(L97)),L97,"")</f>
        <v/>
      </c>
      <c r="AG97" s="9"/>
    </row>
    <row r="98" customFormat="false" ht="1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25" t="str">
        <f aca="false">IF(AND(T98="stranger",ISNUMBER(L98)),L98,"")</f>
        <v/>
      </c>
      <c r="V98" s="25" t="str">
        <f aca="false">IF(AND(T98="stranger",H98="voice",ISNUMBER(L98)),L98,"")</f>
        <v/>
      </c>
      <c r="W98" s="25" t="str">
        <f aca="false">IF(AND(T98="stranger",H98="text",ISNUMBER(L98)),L98,"")</f>
        <v/>
      </c>
      <c r="X98" s="25" t="str">
        <f aca="false">IF(AND(T98="stranger",ISNUMBER(M98)),M98,"")</f>
        <v/>
      </c>
      <c r="Y98" s="25" t="str">
        <f aca="false">IF(AND(T98="stranger",H98="voice",ISNUMBER(M98)),M98,"")</f>
        <v/>
      </c>
      <c r="Z98" s="25" t="str">
        <f aca="false">IF(AND(T98="stranger",H98="text",ISNUMBER(M98)),M98,"")</f>
        <v/>
      </c>
      <c r="AA98" s="25" t="str">
        <f aca="false">IF(AND(T98="stranger",ISNUMBER(J98)),J98,"")</f>
        <v/>
      </c>
      <c r="AB98" s="25" t="str">
        <f aca="false">IF(AND(T98="stranger",H98="voice",ISNUMBER(J98)),J98,"")</f>
        <v/>
      </c>
      <c r="AC98" s="25" t="str">
        <f aca="false">IF(AND(T98="stranger",H98="text",ISNUMBER(J98)),J98,"")</f>
        <v/>
      </c>
      <c r="AD98" s="25" t="str">
        <f aca="false">IF(AND(T98="stranger",ISNUMBER(O98)),O98,"")</f>
        <v/>
      </c>
      <c r="AE98" s="25" t="str">
        <f aca="false">IF(AND(T98="stranger",ISNUMBER(P98)),P98,"")</f>
        <v/>
      </c>
      <c r="AF98" s="25" t="str">
        <f aca="false">IF(AND(T98="friends &amp; family",ISNUMBER(L98)),L98,"")</f>
        <v/>
      </c>
      <c r="AG98" s="9"/>
    </row>
    <row r="99" customFormat="false" ht="15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25" t="str">
        <f aca="false">IF(AND(T99="stranger",ISNUMBER(L99)),L99,"")</f>
        <v/>
      </c>
      <c r="V99" s="25" t="str">
        <f aca="false">IF(AND(T99="stranger",H99="voice",ISNUMBER(L99)),L99,"")</f>
        <v/>
      </c>
      <c r="W99" s="25" t="str">
        <f aca="false">IF(AND(T99="stranger",H99="text",ISNUMBER(L99)),L99,"")</f>
        <v/>
      </c>
      <c r="X99" s="25" t="str">
        <f aca="false">IF(AND(T99="stranger",ISNUMBER(M99)),M99,"")</f>
        <v/>
      </c>
      <c r="Y99" s="25" t="str">
        <f aca="false">IF(AND(T99="stranger",H99="voice",ISNUMBER(M99)),M99,"")</f>
        <v/>
      </c>
      <c r="Z99" s="25" t="str">
        <f aca="false">IF(AND(T99="stranger",H99="text",ISNUMBER(M99)),M99,"")</f>
        <v/>
      </c>
      <c r="AA99" s="25" t="str">
        <f aca="false">IF(AND(T99="stranger",ISNUMBER(J99)),J99,"")</f>
        <v/>
      </c>
      <c r="AB99" s="25" t="str">
        <f aca="false">IF(AND(T99="stranger",H99="voice",ISNUMBER(J99)),J99,"")</f>
        <v/>
      </c>
      <c r="AC99" s="25" t="str">
        <f aca="false">IF(AND(T99="stranger",H99="text",ISNUMBER(J99)),J99,"")</f>
        <v/>
      </c>
      <c r="AD99" s="25" t="str">
        <f aca="false">IF(AND(T99="stranger",ISNUMBER(O99)),O99,"")</f>
        <v/>
      </c>
      <c r="AE99" s="25" t="str">
        <f aca="false">IF(AND(T99="stranger",ISNUMBER(P99)),P99,"")</f>
        <v/>
      </c>
      <c r="AF99" s="25" t="str">
        <f aca="false">IF(AND(T99="friends &amp; family",ISNUMBER(L99)),L99,"")</f>
        <v/>
      </c>
      <c r="AG99" s="9"/>
    </row>
    <row r="100" customFormat="false" ht="15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25" t="str">
        <f aca="false">IF(AND(T100="stranger",ISNUMBER(L100)),L100,"")</f>
        <v/>
      </c>
      <c r="V100" s="25" t="str">
        <f aca="false">IF(AND(T100="stranger",H100="voice",ISNUMBER(L100)),L100,"")</f>
        <v/>
      </c>
      <c r="W100" s="25" t="str">
        <f aca="false">IF(AND(T100="stranger",H100="text",ISNUMBER(L100)),L100,"")</f>
        <v/>
      </c>
      <c r="X100" s="25" t="str">
        <f aca="false">IF(AND(T100="stranger",ISNUMBER(M100)),M100,"")</f>
        <v/>
      </c>
      <c r="Y100" s="25" t="str">
        <f aca="false">IF(AND(T100="stranger",H100="voice",ISNUMBER(M100)),M100,"")</f>
        <v/>
      </c>
      <c r="Z100" s="25" t="str">
        <f aca="false">IF(AND(T100="stranger",H100="text",ISNUMBER(M100)),M100,"")</f>
        <v/>
      </c>
      <c r="AA100" s="25" t="str">
        <f aca="false">IF(AND(T100="stranger",ISNUMBER(J100)),J100,"")</f>
        <v/>
      </c>
      <c r="AB100" s="25" t="str">
        <f aca="false">IF(AND(T100="stranger",H100="voice",ISNUMBER(J100)),J100,"")</f>
        <v/>
      </c>
      <c r="AC100" s="25" t="str">
        <f aca="false">IF(AND(T100="stranger",H100="text",ISNUMBER(J100)),J100,"")</f>
        <v/>
      </c>
      <c r="AD100" s="25" t="str">
        <f aca="false">IF(AND(T100="stranger",ISNUMBER(O100)),O100,"")</f>
        <v/>
      </c>
      <c r="AE100" s="25" t="str">
        <f aca="false">IF(AND(T100="stranger",ISNUMBER(P100)),P100,"")</f>
        <v/>
      </c>
      <c r="AF100" s="25" t="str">
        <f aca="false">IF(AND(T100="friends &amp; family",ISNUMBER(L100)),L100,"")</f>
        <v/>
      </c>
      <c r="AG100" s="9"/>
    </row>
    <row r="101" customFormat="false" ht="15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25" t="str">
        <f aca="false">IF(AND(T101="stranger",ISNUMBER(L101)),L101,"")</f>
        <v/>
      </c>
      <c r="V101" s="25" t="str">
        <f aca="false">IF(AND(T101="stranger",H101="voice",ISNUMBER(L101)),L101,"")</f>
        <v/>
      </c>
      <c r="W101" s="25" t="str">
        <f aca="false">IF(AND(T101="stranger",H101="text",ISNUMBER(L101)),L101,"")</f>
        <v/>
      </c>
      <c r="X101" s="25" t="str">
        <f aca="false">IF(AND(T101="stranger",ISNUMBER(M101)),M101,"")</f>
        <v/>
      </c>
      <c r="Y101" s="25" t="str">
        <f aca="false">IF(AND(T101="stranger",H101="voice",ISNUMBER(M101)),M101,"")</f>
        <v/>
      </c>
      <c r="Z101" s="25" t="str">
        <f aca="false">IF(AND(T101="stranger",H101="text",ISNUMBER(M101)),M101,"")</f>
        <v/>
      </c>
      <c r="AA101" s="25" t="str">
        <f aca="false">IF(AND(T101="stranger",ISNUMBER(J101)),J101,"")</f>
        <v/>
      </c>
      <c r="AB101" s="25" t="str">
        <f aca="false">IF(AND(T101="stranger",H101="voice",ISNUMBER(J101)),J101,"")</f>
        <v/>
      </c>
      <c r="AC101" s="25" t="str">
        <f aca="false">IF(AND(T101="stranger",H101="text",ISNUMBER(J101)),J101,"")</f>
        <v/>
      </c>
      <c r="AD101" s="25" t="str">
        <f aca="false">IF(AND(T101="stranger",ISNUMBER(O101)),O101,"")</f>
        <v/>
      </c>
      <c r="AE101" s="25" t="str">
        <f aca="false">IF(AND(T101="stranger",ISNUMBER(P101)),P101,"")</f>
        <v/>
      </c>
      <c r="AF101" s="25" t="str">
        <f aca="false">IF(AND(T101="friends &amp; family",ISNUMBER(L101)),L101,"")</f>
        <v/>
      </c>
      <c r="AG101" s="9"/>
    </row>
    <row r="102" customFormat="false" ht="15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25" t="str">
        <f aca="false">IF(AND(T102="stranger",ISNUMBER(L102)),L102,"")</f>
        <v/>
      </c>
      <c r="V102" s="25" t="str">
        <f aca="false">IF(AND(T102="stranger",H102="voice",ISNUMBER(L102)),L102,"")</f>
        <v/>
      </c>
      <c r="W102" s="25" t="str">
        <f aca="false">IF(AND(T102="stranger",H102="text",ISNUMBER(L102)),L102,"")</f>
        <v/>
      </c>
      <c r="X102" s="25" t="str">
        <f aca="false">IF(AND(T102="stranger",ISNUMBER(M102)),M102,"")</f>
        <v/>
      </c>
      <c r="Y102" s="25" t="str">
        <f aca="false">IF(AND(T102="stranger",H102="voice",ISNUMBER(M102)),M102,"")</f>
        <v/>
      </c>
      <c r="Z102" s="25" t="str">
        <f aca="false">IF(AND(T102="stranger",H102="text",ISNUMBER(M102)),M102,"")</f>
        <v/>
      </c>
      <c r="AA102" s="25" t="str">
        <f aca="false">IF(AND(T102="stranger",ISNUMBER(J102)),J102,"")</f>
        <v/>
      </c>
      <c r="AB102" s="25" t="str">
        <f aca="false">IF(AND(T102="stranger",H102="voice",ISNUMBER(J102)),J102,"")</f>
        <v/>
      </c>
      <c r="AC102" s="25" t="str">
        <f aca="false">IF(AND(T102="stranger",H102="text",ISNUMBER(J102)),J102,"")</f>
        <v/>
      </c>
      <c r="AD102" s="25" t="str">
        <f aca="false">IF(AND(T102="stranger",ISNUMBER(O102)),O102,"")</f>
        <v/>
      </c>
      <c r="AE102" s="25" t="str">
        <f aca="false">IF(AND(T102="stranger",ISNUMBER(P102)),P102,"")</f>
        <v/>
      </c>
      <c r="AF102" s="25" t="str">
        <f aca="false">IF(AND(T102="friends &amp; family",ISNUMBER(L102)),L102,"")</f>
        <v/>
      </c>
      <c r="AG102" s="9"/>
    </row>
    <row r="103" customFormat="false" ht="1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25" t="str">
        <f aca="false">IF(AND(T103="stranger",ISNUMBER(L103)),L103,"")</f>
        <v/>
      </c>
      <c r="V103" s="25" t="str">
        <f aca="false">IF(AND(T103="stranger",H103="voice",ISNUMBER(L103)),L103,"")</f>
        <v/>
      </c>
      <c r="W103" s="25" t="str">
        <f aca="false">IF(AND(T103="stranger",H103="text",ISNUMBER(L103)),L103,"")</f>
        <v/>
      </c>
      <c r="X103" s="25" t="str">
        <f aca="false">IF(AND(T103="stranger",ISNUMBER(M103)),M103,"")</f>
        <v/>
      </c>
      <c r="Y103" s="25" t="str">
        <f aca="false">IF(AND(T103="stranger",H103="voice",ISNUMBER(M103)),M103,"")</f>
        <v/>
      </c>
      <c r="Z103" s="25" t="str">
        <f aca="false">IF(AND(T103="stranger",H103="text",ISNUMBER(M103)),M103,"")</f>
        <v/>
      </c>
      <c r="AA103" s="25" t="str">
        <f aca="false">IF(AND(T103="stranger",ISNUMBER(J103)),J103,"")</f>
        <v/>
      </c>
      <c r="AB103" s="25" t="str">
        <f aca="false">IF(AND(T103="stranger",H103="voice",ISNUMBER(J103)),J103,"")</f>
        <v/>
      </c>
      <c r="AC103" s="25" t="str">
        <f aca="false">IF(AND(T103="stranger",H103="text",ISNUMBER(J103)),J103,"")</f>
        <v/>
      </c>
      <c r="AD103" s="25" t="str">
        <f aca="false">IF(AND(T103="stranger",ISNUMBER(O103)),O103,"")</f>
        <v/>
      </c>
      <c r="AE103" s="25" t="str">
        <f aca="false">IF(AND(T103="stranger",ISNUMBER(P103)),P103,"")</f>
        <v/>
      </c>
      <c r="AF103" s="25" t="str">
        <f aca="false">IF(AND(T103="friends &amp; family",ISNUMBER(L103)),L103,"")</f>
        <v/>
      </c>
      <c r="AG103" s="9"/>
    </row>
    <row r="104" customFormat="false" ht="1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25" t="str">
        <f aca="false">IF(AND(T104="stranger",ISNUMBER(L104)),L104,"")</f>
        <v/>
      </c>
      <c r="V104" s="25" t="str">
        <f aca="false">IF(AND(T104="stranger",H104="voice",ISNUMBER(L104)),L104,"")</f>
        <v/>
      </c>
      <c r="W104" s="25" t="str">
        <f aca="false">IF(AND(T104="stranger",H104="text",ISNUMBER(L104)),L104,"")</f>
        <v/>
      </c>
      <c r="X104" s="25" t="str">
        <f aca="false">IF(AND(T104="stranger",ISNUMBER(M104)),M104,"")</f>
        <v/>
      </c>
      <c r="Y104" s="25" t="str">
        <f aca="false">IF(AND(T104="stranger",H104="voice",ISNUMBER(M104)),M104,"")</f>
        <v/>
      </c>
      <c r="Z104" s="25" t="str">
        <f aca="false">IF(AND(T104="stranger",H104="text",ISNUMBER(M104)),M104,"")</f>
        <v/>
      </c>
      <c r="AA104" s="25" t="str">
        <f aca="false">IF(AND(T104="stranger",ISNUMBER(J104)),J104,"")</f>
        <v/>
      </c>
      <c r="AB104" s="25" t="str">
        <f aca="false">IF(AND(T104="stranger",H104="voice",ISNUMBER(J104)),J104,"")</f>
        <v/>
      </c>
      <c r="AC104" s="25" t="str">
        <f aca="false">IF(AND(T104="stranger",H104="text",ISNUMBER(J104)),J104,"")</f>
        <v/>
      </c>
      <c r="AD104" s="25" t="str">
        <f aca="false">IF(AND(T104="stranger",ISNUMBER(O104)),O104,"")</f>
        <v/>
      </c>
      <c r="AE104" s="25" t="str">
        <f aca="false">IF(AND(T104="stranger",ISNUMBER(P104)),P104,"")</f>
        <v/>
      </c>
      <c r="AF104" s="25" t="str">
        <f aca="false">IF(AND(T104="friends &amp; family",ISNUMBER(L104)),L104,"")</f>
        <v/>
      </c>
      <c r="AG104" s="9"/>
    </row>
    <row r="105" customFormat="false" ht="1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25" t="str">
        <f aca="false">IF(AND(T105="stranger",ISNUMBER(L105)),L105,"")</f>
        <v/>
      </c>
      <c r="V105" s="25" t="str">
        <f aca="false">IF(AND(T105="stranger",H105="voice",ISNUMBER(L105)),L105,"")</f>
        <v/>
      </c>
      <c r="W105" s="25" t="str">
        <f aca="false">IF(AND(T105="stranger",H105="text",ISNUMBER(L105)),L105,"")</f>
        <v/>
      </c>
      <c r="X105" s="25" t="str">
        <f aca="false">IF(AND(T105="stranger",ISNUMBER(M105)),M105,"")</f>
        <v/>
      </c>
      <c r="Y105" s="25" t="str">
        <f aca="false">IF(AND(T105="stranger",H105="voice",ISNUMBER(M105)),M105,"")</f>
        <v/>
      </c>
      <c r="Z105" s="25" t="str">
        <f aca="false">IF(AND(T105="stranger",H105="text",ISNUMBER(M105)),M105,"")</f>
        <v/>
      </c>
      <c r="AA105" s="25" t="str">
        <f aca="false">IF(AND(T105="stranger",ISNUMBER(J105)),J105,"")</f>
        <v/>
      </c>
      <c r="AB105" s="25" t="str">
        <f aca="false">IF(AND(T105="stranger",H105="voice",ISNUMBER(J105)),J105,"")</f>
        <v/>
      </c>
      <c r="AC105" s="25" t="str">
        <f aca="false">IF(AND(T105="stranger",H105="text",ISNUMBER(J105)),J105,"")</f>
        <v/>
      </c>
      <c r="AD105" s="25" t="str">
        <f aca="false">IF(AND(T105="stranger",ISNUMBER(O105)),O105,"")</f>
        <v/>
      </c>
      <c r="AE105" s="25" t="str">
        <f aca="false">IF(AND(T105="stranger",ISNUMBER(P105)),P105,"")</f>
        <v/>
      </c>
      <c r="AF105" s="25" t="str">
        <f aca="false">IF(AND(T105="friends &amp; family",ISNUMBER(L105)),L105,"")</f>
        <v/>
      </c>
      <c r="AG105" s="9"/>
    </row>
    <row r="106" customFormat="false" ht="1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25" t="str">
        <f aca="false">IF(AND(T106="stranger",ISNUMBER(L106)),L106,"")</f>
        <v/>
      </c>
      <c r="V106" s="25" t="str">
        <f aca="false">IF(AND(T106="stranger",H106="voice",ISNUMBER(L106)),L106,"")</f>
        <v/>
      </c>
      <c r="W106" s="25" t="str">
        <f aca="false">IF(AND(T106="stranger",H106="text",ISNUMBER(L106)),L106,"")</f>
        <v/>
      </c>
      <c r="X106" s="25" t="str">
        <f aca="false">IF(AND(T106="stranger",ISNUMBER(M106)),M106,"")</f>
        <v/>
      </c>
      <c r="Y106" s="25" t="str">
        <f aca="false">IF(AND(T106="stranger",H106="voice",ISNUMBER(M106)),M106,"")</f>
        <v/>
      </c>
      <c r="Z106" s="25" t="str">
        <f aca="false">IF(AND(T106="stranger",H106="text",ISNUMBER(M106)),M106,"")</f>
        <v/>
      </c>
      <c r="AA106" s="25" t="str">
        <f aca="false">IF(AND(T106="stranger",ISNUMBER(J106)),J106,"")</f>
        <v/>
      </c>
      <c r="AB106" s="25" t="str">
        <f aca="false">IF(AND(T106="stranger",H106="voice",ISNUMBER(J106)),J106,"")</f>
        <v/>
      </c>
      <c r="AC106" s="25" t="str">
        <f aca="false">IF(AND(T106="stranger",H106="text",ISNUMBER(J106)),J106,"")</f>
        <v/>
      </c>
      <c r="AD106" s="25" t="str">
        <f aca="false">IF(AND(T106="stranger",ISNUMBER(O106)),O106,"")</f>
        <v/>
      </c>
      <c r="AE106" s="25" t="str">
        <f aca="false">IF(AND(T106="stranger",ISNUMBER(P106)),P106,"")</f>
        <v/>
      </c>
      <c r="AF106" s="25" t="str">
        <f aca="false">IF(AND(T106="friends &amp; family",ISNUMBER(L106)),L106,"")</f>
        <v/>
      </c>
      <c r="AG106" s="9"/>
    </row>
    <row r="107" customFormat="false" ht="1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25" t="str">
        <f aca="false">IF(AND(T107="stranger",ISNUMBER(L107)),L107,"")</f>
        <v/>
      </c>
      <c r="V107" s="25" t="str">
        <f aca="false">IF(AND(T107="stranger",H107="voice",ISNUMBER(L107)),L107,"")</f>
        <v/>
      </c>
      <c r="W107" s="25" t="str">
        <f aca="false">IF(AND(T107="stranger",H107="text",ISNUMBER(L107)),L107,"")</f>
        <v/>
      </c>
      <c r="X107" s="25" t="str">
        <f aca="false">IF(AND(T107="stranger",ISNUMBER(M107)),M107,"")</f>
        <v/>
      </c>
      <c r="Y107" s="25" t="str">
        <f aca="false">IF(AND(T107="stranger",H107="voice",ISNUMBER(M107)),M107,"")</f>
        <v/>
      </c>
      <c r="Z107" s="25" t="str">
        <f aca="false">IF(AND(T107="stranger",H107="text",ISNUMBER(M107)),M107,"")</f>
        <v/>
      </c>
      <c r="AA107" s="25" t="str">
        <f aca="false">IF(AND(T107="stranger",ISNUMBER(J107)),J107,"")</f>
        <v/>
      </c>
      <c r="AB107" s="25" t="str">
        <f aca="false">IF(AND(T107="stranger",H107="voice",ISNUMBER(J107)),J107,"")</f>
        <v/>
      </c>
      <c r="AC107" s="25" t="str">
        <f aca="false">IF(AND(T107="stranger",H107="text",ISNUMBER(J107)),J107,"")</f>
        <v/>
      </c>
      <c r="AD107" s="25" t="str">
        <f aca="false">IF(AND(T107="stranger",ISNUMBER(O107)),O107,"")</f>
        <v/>
      </c>
      <c r="AE107" s="25" t="str">
        <f aca="false">IF(AND(T107="stranger",ISNUMBER(P107)),P107,"")</f>
        <v/>
      </c>
      <c r="AF107" s="25" t="str">
        <f aca="false">IF(AND(T107="friends &amp; family",ISNUMBER(L107)),L107,"")</f>
        <v/>
      </c>
      <c r="AG107" s="9"/>
    </row>
    <row r="108" customFormat="false" ht="1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25" t="str">
        <f aca="false">IF(AND(T108="stranger",ISNUMBER(L108)),L108,"")</f>
        <v/>
      </c>
      <c r="V108" s="25" t="str">
        <f aca="false">IF(AND(T108="stranger",H108="voice",ISNUMBER(L108)),L108,"")</f>
        <v/>
      </c>
      <c r="W108" s="25" t="str">
        <f aca="false">IF(AND(T108="stranger",H108="text",ISNUMBER(L108)),L108,"")</f>
        <v/>
      </c>
      <c r="X108" s="25" t="str">
        <f aca="false">IF(AND(T108="stranger",ISNUMBER(M108)),M108,"")</f>
        <v/>
      </c>
      <c r="Y108" s="25" t="str">
        <f aca="false">IF(AND(T108="stranger",H108="voice",ISNUMBER(M108)),M108,"")</f>
        <v/>
      </c>
      <c r="Z108" s="25" t="str">
        <f aca="false">IF(AND(T108="stranger",H108="text",ISNUMBER(M108)),M108,"")</f>
        <v/>
      </c>
      <c r="AA108" s="25" t="str">
        <f aca="false">IF(AND(T108="stranger",ISNUMBER(J108)),J108,"")</f>
        <v/>
      </c>
      <c r="AB108" s="25" t="str">
        <f aca="false">IF(AND(T108="stranger",H108="voice",ISNUMBER(J108)),J108,"")</f>
        <v/>
      </c>
      <c r="AC108" s="25" t="str">
        <f aca="false">IF(AND(T108="stranger",H108="text",ISNUMBER(J108)),J108,"")</f>
        <v/>
      </c>
      <c r="AD108" s="25" t="str">
        <f aca="false">IF(AND(T108="stranger",ISNUMBER(O108)),O108,"")</f>
        <v/>
      </c>
      <c r="AE108" s="25" t="str">
        <f aca="false">IF(AND(T108="stranger",ISNUMBER(P108)),P108,"")</f>
        <v/>
      </c>
      <c r="AF108" s="25" t="str">
        <f aca="false">IF(AND(T108="friends &amp; family",ISNUMBER(L108)),L108,"")</f>
        <v/>
      </c>
      <c r="AG108" s="9"/>
    </row>
    <row r="109" customFormat="false" ht="1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25" t="str">
        <f aca="false">IF(AND(T109="stranger",ISNUMBER(L109)),L109,"")</f>
        <v/>
      </c>
      <c r="V109" s="25" t="str">
        <f aca="false">IF(AND(T109="stranger",H109="voice",ISNUMBER(L109)),L109,"")</f>
        <v/>
      </c>
      <c r="W109" s="25" t="str">
        <f aca="false">IF(AND(T109="stranger",H109="text",ISNUMBER(L109)),L109,"")</f>
        <v/>
      </c>
      <c r="X109" s="25" t="str">
        <f aca="false">IF(AND(T109="stranger",ISNUMBER(M109)),M109,"")</f>
        <v/>
      </c>
      <c r="Y109" s="25" t="str">
        <f aca="false">IF(AND(T109="stranger",H109="voice",ISNUMBER(M109)),M109,"")</f>
        <v/>
      </c>
      <c r="Z109" s="25" t="str">
        <f aca="false">IF(AND(T109="stranger",H109="text",ISNUMBER(M109)),M109,"")</f>
        <v/>
      </c>
      <c r="AA109" s="25" t="str">
        <f aca="false">IF(AND(T109="stranger",ISNUMBER(J109)),J109,"")</f>
        <v/>
      </c>
      <c r="AB109" s="25" t="str">
        <f aca="false">IF(AND(T109="stranger",H109="voice",ISNUMBER(J109)),J109,"")</f>
        <v/>
      </c>
      <c r="AC109" s="25" t="str">
        <f aca="false">IF(AND(T109="stranger",H109="text",ISNUMBER(J109)),J109,"")</f>
        <v/>
      </c>
      <c r="AD109" s="25" t="str">
        <f aca="false">IF(AND(T109="stranger",ISNUMBER(O109)),O109,"")</f>
        <v/>
      </c>
      <c r="AE109" s="25" t="str">
        <f aca="false">IF(AND(T109="stranger",ISNUMBER(P109)),P109,"")</f>
        <v/>
      </c>
      <c r="AF109" s="25" t="str">
        <f aca="false">IF(AND(T109="friends &amp; family",ISNUMBER(L109)),L109,"")</f>
        <v/>
      </c>
      <c r="AG109" s="9"/>
    </row>
    <row r="110" customFormat="false" ht="1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25" t="str">
        <f aca="false">IF(AND(T110="stranger",ISNUMBER(L110)),L110,"")</f>
        <v/>
      </c>
      <c r="V110" s="25" t="str">
        <f aca="false">IF(AND(T110="stranger",H110="voice",ISNUMBER(L110)),L110,"")</f>
        <v/>
      </c>
      <c r="W110" s="25" t="str">
        <f aca="false">IF(AND(T110="stranger",H110="text",ISNUMBER(L110)),L110,"")</f>
        <v/>
      </c>
      <c r="X110" s="25" t="str">
        <f aca="false">IF(AND(T110="stranger",ISNUMBER(M110)),M110,"")</f>
        <v/>
      </c>
      <c r="Y110" s="25" t="str">
        <f aca="false">IF(AND(T110="stranger",H110="voice",ISNUMBER(M110)),M110,"")</f>
        <v/>
      </c>
      <c r="Z110" s="25" t="str">
        <f aca="false">IF(AND(T110="stranger",H110="text",ISNUMBER(M110)),M110,"")</f>
        <v/>
      </c>
      <c r="AA110" s="25" t="str">
        <f aca="false">IF(AND(T110="stranger",ISNUMBER(J110)),J110,"")</f>
        <v/>
      </c>
      <c r="AB110" s="25" t="str">
        <f aca="false">IF(AND(T110="stranger",H110="voice",ISNUMBER(J110)),J110,"")</f>
        <v/>
      </c>
      <c r="AC110" s="25" t="str">
        <f aca="false">IF(AND(T110="stranger",H110="text",ISNUMBER(J110)),J110,"")</f>
        <v/>
      </c>
      <c r="AD110" s="25" t="str">
        <f aca="false">IF(AND(T110="stranger",ISNUMBER(O110)),O110,"")</f>
        <v/>
      </c>
      <c r="AE110" s="25" t="str">
        <f aca="false">IF(AND(T110="stranger",ISNUMBER(P110)),P110,"")</f>
        <v/>
      </c>
      <c r="AF110" s="25" t="str">
        <f aca="false">IF(AND(T110="friends &amp; family",ISNUMBER(L110)),L110,"")</f>
        <v/>
      </c>
      <c r="AG110" s="9"/>
    </row>
    <row r="111" customFormat="false" ht="1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25" t="str">
        <f aca="false">IF(AND(T111="stranger",ISNUMBER(L111)),L111,"")</f>
        <v/>
      </c>
      <c r="V111" s="25" t="str">
        <f aca="false">IF(AND(T111="stranger",H111="voice",ISNUMBER(L111)),L111,"")</f>
        <v/>
      </c>
      <c r="W111" s="25" t="str">
        <f aca="false">IF(AND(T111="stranger",H111="text",ISNUMBER(L111)),L111,"")</f>
        <v/>
      </c>
      <c r="X111" s="25" t="str">
        <f aca="false">IF(AND(T111="stranger",ISNUMBER(M111)),M111,"")</f>
        <v/>
      </c>
      <c r="Y111" s="25" t="str">
        <f aca="false">IF(AND(T111="stranger",H111="voice",ISNUMBER(M111)),M111,"")</f>
        <v/>
      </c>
      <c r="Z111" s="25" t="str">
        <f aca="false">IF(AND(T111="stranger",H111="text",ISNUMBER(M111)),M111,"")</f>
        <v/>
      </c>
      <c r="AA111" s="25" t="str">
        <f aca="false">IF(AND(T111="stranger",ISNUMBER(J111)),J111,"")</f>
        <v/>
      </c>
      <c r="AB111" s="25" t="str">
        <f aca="false">IF(AND(T111="stranger",H111="voice",ISNUMBER(J111)),J111,"")</f>
        <v/>
      </c>
      <c r="AC111" s="25" t="str">
        <f aca="false">IF(AND(T111="stranger",H111="text",ISNUMBER(J111)),J111,"")</f>
        <v/>
      </c>
      <c r="AD111" s="25" t="str">
        <f aca="false">IF(AND(T111="stranger",ISNUMBER(O111)),O111,"")</f>
        <v/>
      </c>
      <c r="AE111" s="25" t="str">
        <f aca="false">IF(AND(T111="stranger",ISNUMBER(P111)),P111,"")</f>
        <v/>
      </c>
      <c r="AF111" s="25" t="str">
        <f aca="false">IF(AND(T111="friends &amp; family",ISNUMBER(L111)),L111,"")</f>
        <v/>
      </c>
      <c r="AG111" s="9"/>
    </row>
    <row r="112" customFormat="false" ht="1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25" t="str">
        <f aca="false">IF(AND(T112="stranger",ISNUMBER(L112)),L112,"")</f>
        <v/>
      </c>
      <c r="V112" s="25" t="str">
        <f aca="false">IF(AND(T112="stranger",H112="voice",ISNUMBER(L112)),L112,"")</f>
        <v/>
      </c>
      <c r="W112" s="25" t="str">
        <f aca="false">IF(AND(T112="stranger",H112="text",ISNUMBER(L112)),L112,"")</f>
        <v/>
      </c>
      <c r="X112" s="25" t="str">
        <f aca="false">IF(AND(T112="stranger",ISNUMBER(M112)),M112,"")</f>
        <v/>
      </c>
      <c r="Y112" s="25" t="str">
        <f aca="false">IF(AND(T112="stranger",H112="voice",ISNUMBER(M112)),M112,"")</f>
        <v/>
      </c>
      <c r="Z112" s="25" t="str">
        <f aca="false">IF(AND(T112="stranger",H112="text",ISNUMBER(M112)),M112,"")</f>
        <v/>
      </c>
      <c r="AA112" s="25" t="str">
        <f aca="false">IF(AND(T112="stranger",ISNUMBER(J112)),J112,"")</f>
        <v/>
      </c>
      <c r="AB112" s="25" t="str">
        <f aca="false">IF(AND(T112="stranger",H112="voice",ISNUMBER(J112)),J112,"")</f>
        <v/>
      </c>
      <c r="AC112" s="25" t="str">
        <f aca="false">IF(AND(T112="stranger",H112="text",ISNUMBER(J112)),J112,"")</f>
        <v/>
      </c>
      <c r="AD112" s="25" t="str">
        <f aca="false">IF(AND(T112="stranger",ISNUMBER(O112)),O112,"")</f>
        <v/>
      </c>
      <c r="AE112" s="25" t="str">
        <f aca="false">IF(AND(T112="stranger",ISNUMBER(P112)),P112,"")</f>
        <v/>
      </c>
      <c r="AF112" s="25" t="str">
        <f aca="false">IF(AND(T112="friends &amp; family",ISNUMBER(L112)),L112,"")</f>
        <v/>
      </c>
      <c r="AG112" s="9"/>
    </row>
    <row r="113" customFormat="false" ht="1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25" t="str">
        <f aca="false">IF(AND(T113="stranger",ISNUMBER(L113)),L113,"")</f>
        <v/>
      </c>
      <c r="V113" s="25" t="str">
        <f aca="false">IF(AND(T113="stranger",H113="voice",ISNUMBER(L113)),L113,"")</f>
        <v/>
      </c>
      <c r="W113" s="25" t="str">
        <f aca="false">IF(AND(T113="stranger",H113="text",ISNUMBER(L113)),L113,"")</f>
        <v/>
      </c>
      <c r="X113" s="25" t="str">
        <f aca="false">IF(AND(T113="stranger",ISNUMBER(M113)),M113,"")</f>
        <v/>
      </c>
      <c r="Y113" s="25" t="str">
        <f aca="false">IF(AND(T113="stranger",H113="voice",ISNUMBER(M113)),M113,"")</f>
        <v/>
      </c>
      <c r="Z113" s="25" t="str">
        <f aca="false">IF(AND(T113="stranger",H113="text",ISNUMBER(M113)),M113,"")</f>
        <v/>
      </c>
      <c r="AA113" s="25" t="str">
        <f aca="false">IF(AND(T113="stranger",ISNUMBER(J113)),J113,"")</f>
        <v/>
      </c>
      <c r="AB113" s="25" t="str">
        <f aca="false">IF(AND(T113="stranger",H113="voice",ISNUMBER(J113)),J113,"")</f>
        <v/>
      </c>
      <c r="AC113" s="25" t="str">
        <f aca="false">IF(AND(T113="stranger",H113="text",ISNUMBER(J113)),J113,"")</f>
        <v/>
      </c>
      <c r="AD113" s="25" t="str">
        <f aca="false">IF(AND(T113="stranger",ISNUMBER(O113)),O113,"")</f>
        <v/>
      </c>
      <c r="AE113" s="25" t="str">
        <f aca="false">IF(AND(T113="stranger",ISNUMBER(P113)),P113,"")</f>
        <v/>
      </c>
      <c r="AF113" s="25" t="str">
        <f aca="false">IF(AND(T113="friends &amp; family",ISNUMBER(L113)),L113,"")</f>
        <v/>
      </c>
      <c r="AG113" s="9"/>
    </row>
    <row r="114" customFormat="false" ht="1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25" t="str">
        <f aca="false">IF(AND(T114="stranger",ISNUMBER(L114)),L114,"")</f>
        <v/>
      </c>
      <c r="V114" s="25" t="str">
        <f aca="false">IF(AND(T114="stranger",H114="voice",ISNUMBER(L114)),L114,"")</f>
        <v/>
      </c>
      <c r="W114" s="25" t="str">
        <f aca="false">IF(AND(T114="stranger",H114="text",ISNUMBER(L114)),L114,"")</f>
        <v/>
      </c>
      <c r="X114" s="25" t="str">
        <f aca="false">IF(AND(T114="stranger",ISNUMBER(M114)),M114,"")</f>
        <v/>
      </c>
      <c r="Y114" s="25" t="str">
        <f aca="false">IF(AND(T114="stranger",H114="voice",ISNUMBER(M114)),M114,"")</f>
        <v/>
      </c>
      <c r="Z114" s="25" t="str">
        <f aca="false">IF(AND(T114="stranger",H114="text",ISNUMBER(M114)),M114,"")</f>
        <v/>
      </c>
      <c r="AA114" s="25" t="str">
        <f aca="false">IF(AND(T114="stranger",ISNUMBER(J114)),J114,"")</f>
        <v/>
      </c>
      <c r="AB114" s="25" t="str">
        <f aca="false">IF(AND(T114="stranger",H114="voice",ISNUMBER(J114)),J114,"")</f>
        <v/>
      </c>
      <c r="AC114" s="25" t="str">
        <f aca="false">IF(AND(T114="stranger",H114="text",ISNUMBER(J114)),J114,"")</f>
        <v/>
      </c>
      <c r="AD114" s="25" t="str">
        <f aca="false">IF(AND(T114="stranger",ISNUMBER(O114)),O114,"")</f>
        <v/>
      </c>
      <c r="AE114" s="25" t="str">
        <f aca="false">IF(AND(T114="stranger",ISNUMBER(P114)),P114,"")</f>
        <v/>
      </c>
      <c r="AF114" s="25" t="str">
        <f aca="false">IF(AND(T114="friends &amp; family",ISNUMBER(L114)),L114,"")</f>
        <v/>
      </c>
      <c r="AG114" s="9"/>
    </row>
    <row r="115" customFormat="false" ht="1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25" t="str">
        <f aca="false">IF(AND(T115="stranger",ISNUMBER(L115)),L115,"")</f>
        <v/>
      </c>
      <c r="V115" s="25" t="str">
        <f aca="false">IF(AND(T115="stranger",H115="voice",ISNUMBER(L115)),L115,"")</f>
        <v/>
      </c>
      <c r="W115" s="25" t="str">
        <f aca="false">IF(AND(T115="stranger",H115="text",ISNUMBER(L115)),L115,"")</f>
        <v/>
      </c>
      <c r="X115" s="25" t="str">
        <f aca="false">IF(AND(T115="stranger",ISNUMBER(M115)),M115,"")</f>
        <v/>
      </c>
      <c r="Y115" s="25" t="str">
        <f aca="false">IF(AND(T115="stranger",H115="voice",ISNUMBER(M115)),M115,"")</f>
        <v/>
      </c>
      <c r="Z115" s="25" t="str">
        <f aca="false">IF(AND(T115="stranger",H115="text",ISNUMBER(M115)),M115,"")</f>
        <v/>
      </c>
      <c r="AA115" s="25" t="str">
        <f aca="false">IF(AND(T115="stranger",ISNUMBER(J115)),J115,"")</f>
        <v/>
      </c>
      <c r="AB115" s="25" t="str">
        <f aca="false">IF(AND(T115="stranger",H115="voice",ISNUMBER(J115)),J115,"")</f>
        <v/>
      </c>
      <c r="AC115" s="25" t="str">
        <f aca="false">IF(AND(T115="stranger",H115="text",ISNUMBER(J115)),J115,"")</f>
        <v/>
      </c>
      <c r="AD115" s="25" t="str">
        <f aca="false">IF(AND(T115="stranger",ISNUMBER(O115)),O115,"")</f>
        <v/>
      </c>
      <c r="AE115" s="25" t="str">
        <f aca="false">IF(AND(T115="stranger",ISNUMBER(P115)),P115,"")</f>
        <v/>
      </c>
      <c r="AF115" s="25" t="str">
        <f aca="false">IF(AND(T115="friends &amp; family",ISNUMBER(L115)),L115,"")</f>
        <v/>
      </c>
      <c r="AG115" s="9"/>
    </row>
    <row r="116" customFormat="false" ht="1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25" t="str">
        <f aca="false">IF(AND(T116="stranger",ISNUMBER(L116)),L116,"")</f>
        <v/>
      </c>
      <c r="V116" s="25" t="str">
        <f aca="false">IF(AND(T116="stranger",H116="voice",ISNUMBER(L116)),L116,"")</f>
        <v/>
      </c>
      <c r="W116" s="25" t="str">
        <f aca="false">IF(AND(T116="stranger",H116="text",ISNUMBER(L116)),L116,"")</f>
        <v/>
      </c>
      <c r="X116" s="25" t="str">
        <f aca="false">IF(AND(T116="stranger",ISNUMBER(M116)),M116,"")</f>
        <v/>
      </c>
      <c r="Y116" s="25" t="str">
        <f aca="false">IF(AND(T116="stranger",H116="voice",ISNUMBER(M116)),M116,"")</f>
        <v/>
      </c>
      <c r="Z116" s="25" t="str">
        <f aca="false">IF(AND(T116="stranger",H116="text",ISNUMBER(M116)),M116,"")</f>
        <v/>
      </c>
      <c r="AA116" s="25" t="str">
        <f aca="false">IF(AND(T116="stranger",ISNUMBER(J116)),J116,"")</f>
        <v/>
      </c>
      <c r="AB116" s="25" t="str">
        <f aca="false">IF(AND(T116="stranger",H116="voice",ISNUMBER(J116)),J116,"")</f>
        <v/>
      </c>
      <c r="AC116" s="25" t="str">
        <f aca="false">IF(AND(T116="stranger",H116="text",ISNUMBER(J116)),J116,"")</f>
        <v/>
      </c>
      <c r="AD116" s="25" t="str">
        <f aca="false">IF(AND(T116="stranger",ISNUMBER(O116)),O116,"")</f>
        <v/>
      </c>
      <c r="AE116" s="25" t="str">
        <f aca="false">IF(AND(T116="stranger",ISNUMBER(P116)),P116,"")</f>
        <v/>
      </c>
      <c r="AF116" s="25" t="str">
        <f aca="false">IF(AND(T116="friends &amp; family",ISNUMBER(L116)),L116,"")</f>
        <v/>
      </c>
      <c r="AG116" s="9"/>
    </row>
    <row r="117" customFormat="false" ht="1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25" t="str">
        <f aca="false">IF(AND(T117="stranger",ISNUMBER(L117)),L117,"")</f>
        <v/>
      </c>
      <c r="V117" s="25" t="str">
        <f aca="false">IF(AND(T117="stranger",H117="voice",ISNUMBER(L117)),L117,"")</f>
        <v/>
      </c>
      <c r="W117" s="25" t="str">
        <f aca="false">IF(AND(T117="stranger",H117="text",ISNUMBER(L117)),L117,"")</f>
        <v/>
      </c>
      <c r="X117" s="25" t="str">
        <f aca="false">IF(AND(T117="stranger",ISNUMBER(M117)),M117,"")</f>
        <v/>
      </c>
      <c r="Y117" s="25" t="str">
        <f aca="false">IF(AND(T117="stranger",H117="voice",ISNUMBER(M117)),M117,"")</f>
        <v/>
      </c>
      <c r="Z117" s="25" t="str">
        <f aca="false">IF(AND(T117="stranger",H117="text",ISNUMBER(M117)),M117,"")</f>
        <v/>
      </c>
      <c r="AA117" s="25" t="str">
        <f aca="false">IF(AND(T117="stranger",ISNUMBER(J117)),J117,"")</f>
        <v/>
      </c>
      <c r="AB117" s="25" t="str">
        <f aca="false">IF(AND(T117="stranger",H117="voice",ISNUMBER(J117)),J117,"")</f>
        <v/>
      </c>
      <c r="AC117" s="25" t="str">
        <f aca="false">IF(AND(T117="stranger",H117="text",ISNUMBER(J117)),J117,"")</f>
        <v/>
      </c>
      <c r="AD117" s="25" t="str">
        <f aca="false">IF(AND(T117="stranger",ISNUMBER(O117)),O117,"")</f>
        <v/>
      </c>
      <c r="AE117" s="25" t="str">
        <f aca="false">IF(AND(T117="stranger",ISNUMBER(P117)),P117,"")</f>
        <v/>
      </c>
      <c r="AF117" s="25" t="str">
        <f aca="false">IF(AND(T117="friends &amp; family",ISNUMBER(L117)),L117,"")</f>
        <v/>
      </c>
      <c r="AG117" s="9"/>
    </row>
    <row r="118" customFormat="false" ht="1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25" t="str">
        <f aca="false">IF(AND(T118="stranger",ISNUMBER(L118)),L118,"")</f>
        <v/>
      </c>
      <c r="V118" s="25" t="str">
        <f aca="false">IF(AND(T118="stranger",H118="voice",ISNUMBER(L118)),L118,"")</f>
        <v/>
      </c>
      <c r="W118" s="25" t="str">
        <f aca="false">IF(AND(T118="stranger",H118="text",ISNUMBER(L118)),L118,"")</f>
        <v/>
      </c>
      <c r="X118" s="25" t="str">
        <f aca="false">IF(AND(T118="stranger",ISNUMBER(M118)),M118,"")</f>
        <v/>
      </c>
      <c r="Y118" s="25" t="str">
        <f aca="false">IF(AND(T118="stranger",H118="voice",ISNUMBER(M118)),M118,"")</f>
        <v/>
      </c>
      <c r="Z118" s="25" t="str">
        <f aca="false">IF(AND(T118="stranger",H118="text",ISNUMBER(M118)),M118,"")</f>
        <v/>
      </c>
      <c r="AA118" s="25" t="str">
        <f aca="false">IF(AND(T118="stranger",ISNUMBER(J118)),J118,"")</f>
        <v/>
      </c>
      <c r="AB118" s="25" t="str">
        <f aca="false">IF(AND(T118="stranger",H118="voice",ISNUMBER(J118)),J118,"")</f>
        <v/>
      </c>
      <c r="AC118" s="25" t="str">
        <f aca="false">IF(AND(T118="stranger",H118="text",ISNUMBER(J118)),J118,"")</f>
        <v/>
      </c>
      <c r="AD118" s="25" t="str">
        <f aca="false">IF(AND(T118="stranger",ISNUMBER(O118)),O118,"")</f>
        <v/>
      </c>
      <c r="AE118" s="25" t="str">
        <f aca="false">IF(AND(T118="stranger",ISNUMBER(P118)),P118,"")</f>
        <v/>
      </c>
      <c r="AF118" s="25" t="str">
        <f aca="false">IF(AND(T118="friends &amp; family",ISNUMBER(L118)),L118,"")</f>
        <v/>
      </c>
      <c r="AG118" s="9"/>
    </row>
    <row r="119" customFormat="false" ht="1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25" t="str">
        <f aca="false">IF(AND(T119="stranger",ISNUMBER(L119)),L119,"")</f>
        <v/>
      </c>
      <c r="V119" s="25" t="str">
        <f aca="false">IF(AND(T119="stranger",H119="voice",ISNUMBER(L119)),L119,"")</f>
        <v/>
      </c>
      <c r="W119" s="25" t="str">
        <f aca="false">IF(AND(T119="stranger",H119="text",ISNUMBER(L119)),L119,"")</f>
        <v/>
      </c>
      <c r="X119" s="25" t="str">
        <f aca="false">IF(AND(T119="stranger",ISNUMBER(M119)),M119,"")</f>
        <v/>
      </c>
      <c r="Y119" s="25" t="str">
        <f aca="false">IF(AND(T119="stranger",H119="voice",ISNUMBER(M119)),M119,"")</f>
        <v/>
      </c>
      <c r="Z119" s="25" t="str">
        <f aca="false">IF(AND(T119="stranger",H119="text",ISNUMBER(M119)),M119,"")</f>
        <v/>
      </c>
      <c r="AA119" s="25" t="str">
        <f aca="false">IF(AND(T119="stranger",ISNUMBER(J119)),J119,"")</f>
        <v/>
      </c>
      <c r="AB119" s="25" t="str">
        <f aca="false">IF(AND(T119="stranger",H119="voice",ISNUMBER(J119)),J119,"")</f>
        <v/>
      </c>
      <c r="AC119" s="25" t="str">
        <f aca="false">IF(AND(T119="stranger",H119="text",ISNUMBER(J119)),J119,"")</f>
        <v/>
      </c>
      <c r="AD119" s="25" t="str">
        <f aca="false">IF(AND(T119="stranger",ISNUMBER(O119)),O119,"")</f>
        <v/>
      </c>
      <c r="AE119" s="25" t="str">
        <f aca="false">IF(AND(T119="stranger",ISNUMBER(P119)),P119,"")</f>
        <v/>
      </c>
      <c r="AF119" s="25" t="str">
        <f aca="false">IF(AND(T119="friends &amp; family",ISNUMBER(L119)),L119,"")</f>
        <v/>
      </c>
      <c r="AG119" s="9"/>
    </row>
    <row r="120" customFormat="false" ht="1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25" t="str">
        <f aca="false">IF(AND(T120="stranger",ISNUMBER(L120)),L120,"")</f>
        <v/>
      </c>
      <c r="V120" s="25" t="str">
        <f aca="false">IF(AND(T120="stranger",H120="voice",ISNUMBER(L120)),L120,"")</f>
        <v/>
      </c>
      <c r="W120" s="25" t="str">
        <f aca="false">IF(AND(T120="stranger",H120="text",ISNUMBER(L120)),L120,"")</f>
        <v/>
      </c>
      <c r="X120" s="25" t="str">
        <f aca="false">IF(AND(T120="stranger",ISNUMBER(M120)),M120,"")</f>
        <v/>
      </c>
      <c r="Y120" s="25" t="str">
        <f aca="false">IF(AND(T120="stranger",H120="voice",ISNUMBER(M120)),M120,"")</f>
        <v/>
      </c>
      <c r="Z120" s="25" t="str">
        <f aca="false">IF(AND(T120="stranger",H120="text",ISNUMBER(M120)),M120,"")</f>
        <v/>
      </c>
      <c r="AA120" s="25" t="str">
        <f aca="false">IF(AND(T120="stranger",ISNUMBER(J120)),J120,"")</f>
        <v/>
      </c>
      <c r="AB120" s="25" t="str">
        <f aca="false">IF(AND(T120="stranger",H120="voice",ISNUMBER(J120)),J120,"")</f>
        <v/>
      </c>
      <c r="AC120" s="25" t="str">
        <f aca="false">IF(AND(T120="stranger",H120="text",ISNUMBER(J120)),J120,"")</f>
        <v/>
      </c>
      <c r="AD120" s="25" t="str">
        <f aca="false">IF(AND(T120="stranger",ISNUMBER(O120)),O120,"")</f>
        <v/>
      </c>
      <c r="AE120" s="25" t="str">
        <f aca="false">IF(AND(T120="stranger",ISNUMBER(P120)),P120,"")</f>
        <v/>
      </c>
      <c r="AF120" s="25" t="str">
        <f aca="false">IF(AND(T120="friends &amp; family",ISNUMBER(L120)),L120,"")</f>
        <v/>
      </c>
      <c r="AG120" s="9"/>
    </row>
    <row r="121" customFormat="false" ht="1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25" t="str">
        <f aca="false">IF(AND(T121="stranger",ISNUMBER(L121)),L121,"")</f>
        <v/>
      </c>
      <c r="V121" s="25" t="str">
        <f aca="false">IF(AND(T121="stranger",H121="voice",ISNUMBER(L121)),L121,"")</f>
        <v/>
      </c>
      <c r="W121" s="25" t="str">
        <f aca="false">IF(AND(T121="stranger",H121="text",ISNUMBER(L121)),L121,"")</f>
        <v/>
      </c>
      <c r="X121" s="25" t="str">
        <f aca="false">IF(AND(T121="stranger",ISNUMBER(M121)),M121,"")</f>
        <v/>
      </c>
      <c r="Y121" s="25" t="str">
        <f aca="false">IF(AND(T121="stranger",H121="voice",ISNUMBER(M121)),M121,"")</f>
        <v/>
      </c>
      <c r="Z121" s="25" t="str">
        <f aca="false">IF(AND(T121="stranger",H121="text",ISNUMBER(M121)),M121,"")</f>
        <v/>
      </c>
      <c r="AA121" s="25" t="str">
        <f aca="false">IF(AND(T121="stranger",ISNUMBER(J121)),J121,"")</f>
        <v/>
      </c>
      <c r="AB121" s="25" t="str">
        <f aca="false">IF(AND(T121="stranger",H121="voice",ISNUMBER(J121)),J121,"")</f>
        <v/>
      </c>
      <c r="AC121" s="25" t="str">
        <f aca="false">IF(AND(T121="stranger",H121="text",ISNUMBER(J121)),J121,"")</f>
        <v/>
      </c>
      <c r="AD121" s="25" t="str">
        <f aca="false">IF(AND(T121="stranger",ISNUMBER(O121)),O121,"")</f>
        <v/>
      </c>
      <c r="AE121" s="25" t="str">
        <f aca="false">IF(AND(T121="stranger",ISNUMBER(P121)),P121,"")</f>
        <v/>
      </c>
      <c r="AF121" s="25" t="str">
        <f aca="false">IF(AND(T121="friends &amp; family",ISNUMBER(L121)),L121,"")</f>
        <v/>
      </c>
      <c r="AG121" s="9"/>
    </row>
    <row r="122" customFormat="false" ht="1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25" t="str">
        <f aca="false">IF(AND(T122="stranger",ISNUMBER(L122)),L122,"")</f>
        <v/>
      </c>
      <c r="V122" s="25" t="str">
        <f aca="false">IF(AND(T122="stranger",H122="voice",ISNUMBER(L122)),L122,"")</f>
        <v/>
      </c>
      <c r="W122" s="25" t="str">
        <f aca="false">IF(AND(T122="stranger",H122="text",ISNUMBER(L122)),L122,"")</f>
        <v/>
      </c>
      <c r="X122" s="25" t="str">
        <f aca="false">IF(AND(T122="stranger",ISNUMBER(M122)),M122,"")</f>
        <v/>
      </c>
      <c r="Y122" s="25" t="str">
        <f aca="false">IF(AND(T122="stranger",H122="voice",ISNUMBER(M122)),M122,"")</f>
        <v/>
      </c>
      <c r="Z122" s="25" t="str">
        <f aca="false">IF(AND(T122="stranger",H122="text",ISNUMBER(M122)),M122,"")</f>
        <v/>
      </c>
      <c r="AA122" s="25" t="str">
        <f aca="false">IF(AND(T122="stranger",ISNUMBER(J122)),J122,"")</f>
        <v/>
      </c>
      <c r="AB122" s="25" t="str">
        <f aca="false">IF(AND(T122="stranger",H122="voice",ISNUMBER(J122)),J122,"")</f>
        <v/>
      </c>
      <c r="AC122" s="25" t="str">
        <f aca="false">IF(AND(T122="stranger",H122="text",ISNUMBER(J122)),J122,"")</f>
        <v/>
      </c>
      <c r="AD122" s="25" t="str">
        <f aca="false">IF(AND(T122="stranger",ISNUMBER(O122)),O122,"")</f>
        <v/>
      </c>
      <c r="AE122" s="25" t="str">
        <f aca="false">IF(AND(T122="stranger",ISNUMBER(P122)),P122,"")</f>
        <v/>
      </c>
      <c r="AF122" s="25" t="str">
        <f aca="false">IF(AND(T122="friends &amp; family",ISNUMBER(L122)),L122,"")</f>
        <v/>
      </c>
      <c r="AG122" s="9"/>
    </row>
    <row r="123" customFormat="false" ht="1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25" t="str">
        <f aca="false">IF(AND(T123="stranger",ISNUMBER(L123)),L123,"")</f>
        <v/>
      </c>
      <c r="V123" s="25" t="str">
        <f aca="false">IF(AND(T123="stranger",H123="voice",ISNUMBER(L123)),L123,"")</f>
        <v/>
      </c>
      <c r="W123" s="25" t="str">
        <f aca="false">IF(AND(T123="stranger",H123="text",ISNUMBER(L123)),L123,"")</f>
        <v/>
      </c>
      <c r="X123" s="25" t="str">
        <f aca="false">IF(AND(T123="stranger",ISNUMBER(M123)),M123,"")</f>
        <v/>
      </c>
      <c r="Y123" s="25" t="str">
        <f aca="false">IF(AND(T123="stranger",H123="voice",ISNUMBER(M123)),M123,"")</f>
        <v/>
      </c>
      <c r="Z123" s="25" t="str">
        <f aca="false">IF(AND(T123="stranger",H123="text",ISNUMBER(M123)),M123,"")</f>
        <v/>
      </c>
      <c r="AA123" s="25" t="str">
        <f aca="false">IF(AND(T123="stranger",ISNUMBER(J123)),J123,"")</f>
        <v/>
      </c>
      <c r="AB123" s="25" t="str">
        <f aca="false">IF(AND(T123="stranger",H123="voice",ISNUMBER(J123)),J123,"")</f>
        <v/>
      </c>
      <c r="AC123" s="25" t="str">
        <f aca="false">IF(AND(T123="stranger",H123="text",ISNUMBER(J123)),J123,"")</f>
        <v/>
      </c>
      <c r="AD123" s="25" t="str">
        <f aca="false">IF(AND(T123="stranger",ISNUMBER(O123)),O123,"")</f>
        <v/>
      </c>
      <c r="AE123" s="25" t="str">
        <f aca="false">IF(AND(T123="stranger",ISNUMBER(P123)),P123,"")</f>
        <v/>
      </c>
      <c r="AF123" s="25" t="str">
        <f aca="false">IF(AND(T123="friends &amp; family",ISNUMBER(L123)),L123,"")</f>
        <v/>
      </c>
      <c r="AG123" s="9"/>
    </row>
    <row r="124" customFormat="false" ht="1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25" t="str">
        <f aca="false">IF(AND(T124="stranger",ISNUMBER(L124)),L124,"")</f>
        <v/>
      </c>
      <c r="V124" s="25" t="str">
        <f aca="false">IF(AND(T124="stranger",H124="voice",ISNUMBER(L124)),L124,"")</f>
        <v/>
      </c>
      <c r="W124" s="25" t="str">
        <f aca="false">IF(AND(T124="stranger",H124="text",ISNUMBER(L124)),L124,"")</f>
        <v/>
      </c>
      <c r="X124" s="25" t="str">
        <f aca="false">IF(AND(T124="stranger",ISNUMBER(M124)),M124,"")</f>
        <v/>
      </c>
      <c r="Y124" s="25" t="str">
        <f aca="false">IF(AND(T124="stranger",H124="voice",ISNUMBER(M124)),M124,"")</f>
        <v/>
      </c>
      <c r="Z124" s="25" t="str">
        <f aca="false">IF(AND(T124="stranger",H124="text",ISNUMBER(M124)),M124,"")</f>
        <v/>
      </c>
      <c r="AA124" s="25" t="str">
        <f aca="false">IF(AND(T124="stranger",ISNUMBER(J124)),J124,"")</f>
        <v/>
      </c>
      <c r="AB124" s="25" t="str">
        <f aca="false">IF(AND(T124="stranger",H124="voice",ISNUMBER(J124)),J124,"")</f>
        <v/>
      </c>
      <c r="AC124" s="25" t="str">
        <f aca="false">IF(AND(T124="stranger",H124="text",ISNUMBER(J124)),J124,"")</f>
        <v/>
      </c>
      <c r="AD124" s="25" t="str">
        <f aca="false">IF(AND(T124="stranger",ISNUMBER(O124)),O124,"")</f>
        <v/>
      </c>
      <c r="AE124" s="25" t="str">
        <f aca="false">IF(AND(T124="stranger",ISNUMBER(P124)),P124,"")</f>
        <v/>
      </c>
      <c r="AF124" s="25" t="str">
        <f aca="false">IF(AND(T124="friends &amp; family",ISNUMBER(L124)),L124,"")</f>
        <v/>
      </c>
      <c r="AG124" s="9"/>
    </row>
    <row r="125" customFormat="false" ht="1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25" t="str">
        <f aca="false">IF(AND(T125="stranger",ISNUMBER(L125)),L125,"")</f>
        <v/>
      </c>
      <c r="V125" s="25" t="str">
        <f aca="false">IF(AND(T125="stranger",H125="voice",ISNUMBER(L125)),L125,"")</f>
        <v/>
      </c>
      <c r="W125" s="25" t="str">
        <f aca="false">IF(AND(T125="stranger",H125="text",ISNUMBER(L125)),L125,"")</f>
        <v/>
      </c>
      <c r="X125" s="25" t="str">
        <f aca="false">IF(AND(T125="stranger",ISNUMBER(M125)),M125,"")</f>
        <v/>
      </c>
      <c r="Y125" s="25" t="str">
        <f aca="false">IF(AND(T125="stranger",H125="voice",ISNUMBER(M125)),M125,"")</f>
        <v/>
      </c>
      <c r="Z125" s="25" t="str">
        <f aca="false">IF(AND(T125="stranger",H125="text",ISNUMBER(M125)),M125,"")</f>
        <v/>
      </c>
      <c r="AA125" s="25" t="str">
        <f aca="false">IF(AND(T125="stranger",ISNUMBER(J125)),J125,"")</f>
        <v/>
      </c>
      <c r="AB125" s="25" t="str">
        <f aca="false">IF(AND(T125="stranger",H125="voice",ISNUMBER(J125)),J125,"")</f>
        <v/>
      </c>
      <c r="AC125" s="25" t="str">
        <f aca="false">IF(AND(T125="stranger",H125="text",ISNUMBER(J125)),J125,"")</f>
        <v/>
      </c>
      <c r="AD125" s="25" t="str">
        <f aca="false">IF(AND(T125="stranger",ISNUMBER(O125)),O125,"")</f>
        <v/>
      </c>
      <c r="AE125" s="25" t="str">
        <f aca="false">IF(AND(T125="stranger",ISNUMBER(P125)),P125,"")</f>
        <v/>
      </c>
      <c r="AF125" s="25" t="str">
        <f aca="false">IF(AND(T125="friends &amp; family",ISNUMBER(L125)),L125,"")</f>
        <v/>
      </c>
      <c r="AG125" s="9"/>
    </row>
    <row r="126" customFormat="false" ht="1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25" t="str">
        <f aca="false">IF(AND(T126="stranger",ISNUMBER(L126)),L126,"")</f>
        <v/>
      </c>
      <c r="V126" s="25" t="str">
        <f aca="false">IF(AND(T126="stranger",H126="voice",ISNUMBER(L126)),L126,"")</f>
        <v/>
      </c>
      <c r="W126" s="25" t="str">
        <f aca="false">IF(AND(T126="stranger",H126="text",ISNUMBER(L126)),L126,"")</f>
        <v/>
      </c>
      <c r="X126" s="25" t="str">
        <f aca="false">IF(AND(T126="stranger",ISNUMBER(M126)),M126,"")</f>
        <v/>
      </c>
      <c r="Y126" s="25" t="str">
        <f aca="false">IF(AND(T126="stranger",H126="voice",ISNUMBER(M126)),M126,"")</f>
        <v/>
      </c>
      <c r="Z126" s="25" t="str">
        <f aca="false">IF(AND(T126="stranger",H126="text",ISNUMBER(M126)),M126,"")</f>
        <v/>
      </c>
      <c r="AA126" s="25" t="str">
        <f aca="false">IF(AND(T126="stranger",ISNUMBER(J126)),J126,"")</f>
        <v/>
      </c>
      <c r="AB126" s="25" t="str">
        <f aca="false">IF(AND(T126="stranger",H126="voice",ISNUMBER(J126)),J126,"")</f>
        <v/>
      </c>
      <c r="AC126" s="25" t="str">
        <f aca="false">IF(AND(T126="stranger",H126="text",ISNUMBER(J126)),J126,"")</f>
        <v/>
      </c>
      <c r="AD126" s="25" t="str">
        <f aca="false">IF(AND(T126="stranger",ISNUMBER(O126)),O126,"")</f>
        <v/>
      </c>
      <c r="AE126" s="25" t="str">
        <f aca="false">IF(AND(T126="stranger",ISNUMBER(P126)),P126,"")</f>
        <v/>
      </c>
      <c r="AF126" s="25" t="str">
        <f aca="false">IF(AND(T126="friends &amp; family",ISNUMBER(L126)),L126,"")</f>
        <v/>
      </c>
      <c r="AG126" s="9"/>
    </row>
    <row r="127" customFormat="false" ht="1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25" t="str">
        <f aca="false">IF(AND(T127="stranger",ISNUMBER(L127)),L127,"")</f>
        <v/>
      </c>
      <c r="V127" s="25" t="str">
        <f aca="false">IF(AND(T127="stranger",H127="voice",ISNUMBER(L127)),L127,"")</f>
        <v/>
      </c>
      <c r="W127" s="25" t="str">
        <f aca="false">IF(AND(T127="stranger",H127="text",ISNUMBER(L127)),L127,"")</f>
        <v/>
      </c>
      <c r="X127" s="25" t="str">
        <f aca="false">IF(AND(T127="stranger",ISNUMBER(M127)),M127,"")</f>
        <v/>
      </c>
      <c r="Y127" s="25" t="str">
        <f aca="false">IF(AND(T127="stranger",H127="voice",ISNUMBER(M127)),M127,"")</f>
        <v/>
      </c>
      <c r="Z127" s="25" t="str">
        <f aca="false">IF(AND(T127="stranger",H127="text",ISNUMBER(M127)),M127,"")</f>
        <v/>
      </c>
      <c r="AA127" s="25" t="str">
        <f aca="false">IF(AND(T127="stranger",ISNUMBER(J127)),J127,"")</f>
        <v/>
      </c>
      <c r="AB127" s="25" t="str">
        <f aca="false">IF(AND(T127="stranger",H127="voice",ISNUMBER(J127)),J127,"")</f>
        <v/>
      </c>
      <c r="AC127" s="25" t="str">
        <f aca="false">IF(AND(T127="stranger",H127="text",ISNUMBER(J127)),J127,"")</f>
        <v/>
      </c>
      <c r="AD127" s="25" t="str">
        <f aca="false">IF(AND(T127="stranger",ISNUMBER(O127)),O127,"")</f>
        <v/>
      </c>
      <c r="AE127" s="25" t="str">
        <f aca="false">IF(AND(T127="stranger",ISNUMBER(P127)),P127,"")</f>
        <v/>
      </c>
      <c r="AF127" s="25" t="str">
        <f aca="false">IF(AND(T127="friends &amp; family",ISNUMBER(L127)),L127,"")</f>
        <v/>
      </c>
      <c r="AG127" s="9"/>
    </row>
    <row r="128" customFormat="false" ht="1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25" t="str">
        <f aca="false">IF(AND(T128="stranger",ISNUMBER(L128)),L128,"")</f>
        <v/>
      </c>
      <c r="V128" s="25" t="str">
        <f aca="false">IF(AND(T128="stranger",H128="voice",ISNUMBER(L128)),L128,"")</f>
        <v/>
      </c>
      <c r="W128" s="25" t="str">
        <f aca="false">IF(AND(T128="stranger",H128="text",ISNUMBER(L128)),L128,"")</f>
        <v/>
      </c>
      <c r="X128" s="25" t="str">
        <f aca="false">IF(AND(T128="stranger",ISNUMBER(M128)),M128,"")</f>
        <v/>
      </c>
      <c r="Y128" s="25" t="str">
        <f aca="false">IF(AND(T128="stranger",H128="voice",ISNUMBER(M128)),M128,"")</f>
        <v/>
      </c>
      <c r="Z128" s="25" t="str">
        <f aca="false">IF(AND(T128="stranger",H128="text",ISNUMBER(M128)),M128,"")</f>
        <v/>
      </c>
      <c r="AA128" s="25" t="str">
        <f aca="false">IF(AND(T128="stranger",ISNUMBER(J128)),J128,"")</f>
        <v/>
      </c>
      <c r="AB128" s="25" t="str">
        <f aca="false">IF(AND(T128="stranger",H128="voice",ISNUMBER(J128)),J128,"")</f>
        <v/>
      </c>
      <c r="AC128" s="25" t="str">
        <f aca="false">IF(AND(T128="stranger",H128="text",ISNUMBER(J128)),J128,"")</f>
        <v/>
      </c>
      <c r="AD128" s="25" t="str">
        <f aca="false">IF(AND(T128="stranger",ISNUMBER(O128)),O128,"")</f>
        <v/>
      </c>
      <c r="AE128" s="25" t="str">
        <f aca="false">IF(AND(T128="stranger",ISNUMBER(P128)),P128,"")</f>
        <v/>
      </c>
      <c r="AF128" s="25" t="str">
        <f aca="false">IF(AND(T128="friends &amp; family",ISNUMBER(L128)),L128,"")</f>
        <v/>
      </c>
      <c r="AG128" s="9"/>
    </row>
    <row r="129" customFormat="false" ht="1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25" t="str">
        <f aca="false">IF(AND(T129="stranger",ISNUMBER(L129)),L129,"")</f>
        <v/>
      </c>
      <c r="V129" s="25" t="str">
        <f aca="false">IF(AND(T129="stranger",H129="voice",ISNUMBER(L129)),L129,"")</f>
        <v/>
      </c>
      <c r="W129" s="25" t="str">
        <f aca="false">IF(AND(T129="stranger",H129="text",ISNUMBER(L129)),L129,"")</f>
        <v/>
      </c>
      <c r="X129" s="25" t="str">
        <f aca="false">IF(AND(T129="stranger",ISNUMBER(M129)),M129,"")</f>
        <v/>
      </c>
      <c r="Y129" s="25" t="str">
        <f aca="false">IF(AND(T129="stranger",H129="voice",ISNUMBER(M129)),M129,"")</f>
        <v/>
      </c>
      <c r="Z129" s="25" t="str">
        <f aca="false">IF(AND(T129="stranger",H129="text",ISNUMBER(M129)),M129,"")</f>
        <v/>
      </c>
      <c r="AA129" s="25" t="str">
        <f aca="false">IF(AND(T129="stranger",ISNUMBER(J129)),J129,"")</f>
        <v/>
      </c>
      <c r="AB129" s="25" t="str">
        <f aca="false">IF(AND(T129="stranger",H129="voice",ISNUMBER(J129)),J129,"")</f>
        <v/>
      </c>
      <c r="AC129" s="25" t="str">
        <f aca="false">IF(AND(T129="stranger",H129="text",ISNUMBER(J129)),J129,"")</f>
        <v/>
      </c>
      <c r="AD129" s="25" t="str">
        <f aca="false">IF(AND(T129="stranger",ISNUMBER(O129)),O129,"")</f>
        <v/>
      </c>
      <c r="AE129" s="25" t="str">
        <f aca="false">IF(AND(T129="stranger",ISNUMBER(P129)),P129,"")</f>
        <v/>
      </c>
      <c r="AF129" s="25" t="str">
        <f aca="false">IF(AND(T129="friends &amp; family",ISNUMBER(L129)),L129,"")</f>
        <v/>
      </c>
      <c r="AG129" s="9"/>
    </row>
    <row r="130" customFormat="false" ht="1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25" t="str">
        <f aca="false">IF(AND(T130="stranger",ISNUMBER(L130)),L130,"")</f>
        <v/>
      </c>
      <c r="V130" s="25" t="str">
        <f aca="false">IF(AND(T130="stranger",H130="voice",ISNUMBER(L130)),L130,"")</f>
        <v/>
      </c>
      <c r="W130" s="25" t="str">
        <f aca="false">IF(AND(T130="stranger",H130="text",ISNUMBER(L130)),L130,"")</f>
        <v/>
      </c>
      <c r="X130" s="25" t="str">
        <f aca="false">IF(AND(T130="stranger",ISNUMBER(M130)),M130,"")</f>
        <v/>
      </c>
      <c r="Y130" s="25" t="str">
        <f aca="false">IF(AND(T130="stranger",H130="voice",ISNUMBER(M130)),M130,"")</f>
        <v/>
      </c>
      <c r="Z130" s="25" t="str">
        <f aca="false">IF(AND(T130="stranger",H130="text",ISNUMBER(M130)),M130,"")</f>
        <v/>
      </c>
      <c r="AA130" s="25" t="str">
        <f aca="false">IF(AND(T130="stranger",ISNUMBER(J130)),J130,"")</f>
        <v/>
      </c>
      <c r="AB130" s="25" t="str">
        <f aca="false">IF(AND(T130="stranger",H130="voice",ISNUMBER(J130)),J130,"")</f>
        <v/>
      </c>
      <c r="AC130" s="25" t="str">
        <f aca="false">IF(AND(T130="stranger",H130="text",ISNUMBER(J130)),J130,"")</f>
        <v/>
      </c>
      <c r="AD130" s="25" t="str">
        <f aca="false">IF(AND(T130="stranger",ISNUMBER(O130)),O130,"")</f>
        <v/>
      </c>
      <c r="AE130" s="25" t="str">
        <f aca="false">IF(AND(T130="stranger",ISNUMBER(P130)),P130,"")</f>
        <v/>
      </c>
      <c r="AF130" s="25" t="str">
        <f aca="false">IF(AND(T130="friends &amp; family",ISNUMBER(L130)),L130,"")</f>
        <v/>
      </c>
      <c r="AG130" s="9"/>
    </row>
    <row r="131" customFormat="false" ht="1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25" t="str">
        <f aca="false">IF(AND(T131="stranger",ISNUMBER(L131)),L131,"")</f>
        <v/>
      </c>
      <c r="V131" s="25" t="str">
        <f aca="false">IF(AND(T131="stranger",H131="voice",ISNUMBER(L131)),L131,"")</f>
        <v/>
      </c>
      <c r="W131" s="25" t="str">
        <f aca="false">IF(AND(T131="stranger",H131="text",ISNUMBER(L131)),L131,"")</f>
        <v/>
      </c>
      <c r="X131" s="25" t="str">
        <f aca="false">IF(AND(T131="stranger",ISNUMBER(M131)),M131,"")</f>
        <v/>
      </c>
      <c r="Y131" s="25" t="str">
        <f aca="false">IF(AND(T131="stranger",H131="voice",ISNUMBER(M131)),M131,"")</f>
        <v/>
      </c>
      <c r="Z131" s="25" t="str">
        <f aca="false">IF(AND(T131="stranger",H131="text",ISNUMBER(M131)),M131,"")</f>
        <v/>
      </c>
      <c r="AA131" s="25" t="str">
        <f aca="false">IF(AND(T131="stranger",ISNUMBER(J131)),J131,"")</f>
        <v/>
      </c>
      <c r="AB131" s="25" t="str">
        <f aca="false">IF(AND(T131="stranger",H131="voice",ISNUMBER(J131)),J131,"")</f>
        <v/>
      </c>
      <c r="AC131" s="25" t="str">
        <f aca="false">IF(AND(T131="stranger",H131="text",ISNUMBER(J131)),J131,"")</f>
        <v/>
      </c>
      <c r="AD131" s="25" t="str">
        <f aca="false">IF(AND(T131="stranger",ISNUMBER(O131)),O131,"")</f>
        <v/>
      </c>
      <c r="AE131" s="25" t="str">
        <f aca="false">IF(AND(T131="stranger",ISNUMBER(P131)),P131,"")</f>
        <v/>
      </c>
      <c r="AF131" s="25" t="str">
        <f aca="false">IF(AND(T131="friends &amp; family",ISNUMBER(L131)),L131,"")</f>
        <v/>
      </c>
      <c r="AG131" s="9"/>
    </row>
    <row r="132" customFormat="false" ht="1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25" t="str">
        <f aca="false">IF(AND(T132="stranger",ISNUMBER(L132)),L132,"")</f>
        <v/>
      </c>
      <c r="V132" s="25" t="str">
        <f aca="false">IF(AND(T132="stranger",H132="voice",ISNUMBER(L132)),L132,"")</f>
        <v/>
      </c>
      <c r="W132" s="25" t="str">
        <f aca="false">IF(AND(T132="stranger",H132="text",ISNUMBER(L132)),L132,"")</f>
        <v/>
      </c>
      <c r="X132" s="25" t="str">
        <f aca="false">IF(AND(T132="stranger",ISNUMBER(M132)),M132,"")</f>
        <v/>
      </c>
      <c r="Y132" s="25" t="str">
        <f aca="false">IF(AND(T132="stranger",H132="voice",ISNUMBER(M132)),M132,"")</f>
        <v/>
      </c>
      <c r="Z132" s="25" t="str">
        <f aca="false">IF(AND(T132="stranger",H132="text",ISNUMBER(M132)),M132,"")</f>
        <v/>
      </c>
      <c r="AA132" s="25" t="str">
        <f aca="false">IF(AND(T132="stranger",ISNUMBER(J132)),J132,"")</f>
        <v/>
      </c>
      <c r="AB132" s="25" t="str">
        <f aca="false">IF(AND(T132="stranger",H132="voice",ISNUMBER(J132)),J132,"")</f>
        <v/>
      </c>
      <c r="AC132" s="25" t="str">
        <f aca="false">IF(AND(T132="stranger",H132="text",ISNUMBER(J132)),J132,"")</f>
        <v/>
      </c>
      <c r="AD132" s="25" t="str">
        <f aca="false">IF(AND(T132="stranger",ISNUMBER(O132)),O132,"")</f>
        <v/>
      </c>
      <c r="AE132" s="25" t="str">
        <f aca="false">IF(AND(T132="stranger",ISNUMBER(P132)),P132,"")</f>
        <v/>
      </c>
      <c r="AF132" s="25" t="str">
        <f aca="false">IF(AND(T132="friends &amp; family",ISNUMBER(L132)),L132,"")</f>
        <v/>
      </c>
      <c r="AG132" s="9"/>
    </row>
    <row r="133" customFormat="false" ht="1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25" t="str">
        <f aca="false">IF(AND(T133="stranger",ISNUMBER(L133)),L133,"")</f>
        <v/>
      </c>
      <c r="V133" s="25" t="str">
        <f aca="false">IF(AND(T133="stranger",H133="voice",ISNUMBER(L133)),L133,"")</f>
        <v/>
      </c>
      <c r="W133" s="25" t="str">
        <f aca="false">IF(AND(T133="stranger",H133="text",ISNUMBER(L133)),L133,"")</f>
        <v/>
      </c>
      <c r="X133" s="25" t="str">
        <f aca="false">IF(AND(T133="stranger",ISNUMBER(M133)),M133,"")</f>
        <v/>
      </c>
      <c r="Y133" s="25" t="str">
        <f aca="false">IF(AND(T133="stranger",H133="voice",ISNUMBER(M133)),M133,"")</f>
        <v/>
      </c>
      <c r="Z133" s="25" t="str">
        <f aca="false">IF(AND(T133="stranger",H133="text",ISNUMBER(M133)),M133,"")</f>
        <v/>
      </c>
      <c r="AA133" s="25" t="str">
        <f aca="false">IF(AND(T133="stranger",ISNUMBER(J133)),J133,"")</f>
        <v/>
      </c>
      <c r="AB133" s="25" t="str">
        <f aca="false">IF(AND(T133="stranger",H133="voice",ISNUMBER(J133)),J133,"")</f>
        <v/>
      </c>
      <c r="AC133" s="25" t="str">
        <f aca="false">IF(AND(T133="stranger",H133="text",ISNUMBER(J133)),J133,"")</f>
        <v/>
      </c>
      <c r="AD133" s="25" t="str">
        <f aca="false">IF(AND(T133="stranger",ISNUMBER(O133)),O133,"")</f>
        <v/>
      </c>
      <c r="AE133" s="25" t="str">
        <f aca="false">IF(AND(T133="stranger",ISNUMBER(P133)),P133,"")</f>
        <v/>
      </c>
      <c r="AF133" s="25" t="str">
        <f aca="false">IF(AND(T133="friends &amp; family",ISNUMBER(L133)),L133,"")</f>
        <v/>
      </c>
      <c r="AG133" s="9"/>
    </row>
    <row r="134" customFormat="false" ht="1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25" t="str">
        <f aca="false">IF(AND(T134="stranger",ISNUMBER(L134)),L134,"")</f>
        <v/>
      </c>
      <c r="V134" s="25" t="str">
        <f aca="false">IF(AND(T134="stranger",H134="voice",ISNUMBER(L134)),L134,"")</f>
        <v/>
      </c>
      <c r="W134" s="25" t="str">
        <f aca="false">IF(AND(T134="stranger",H134="text",ISNUMBER(L134)),L134,"")</f>
        <v/>
      </c>
      <c r="X134" s="25" t="str">
        <f aca="false">IF(AND(T134="stranger",ISNUMBER(M134)),M134,"")</f>
        <v/>
      </c>
      <c r="Y134" s="25" t="str">
        <f aca="false">IF(AND(T134="stranger",H134="voice",ISNUMBER(M134)),M134,"")</f>
        <v/>
      </c>
      <c r="Z134" s="25" t="str">
        <f aca="false">IF(AND(T134="stranger",H134="text",ISNUMBER(M134)),M134,"")</f>
        <v/>
      </c>
      <c r="AA134" s="25" t="str">
        <f aca="false">IF(AND(T134="stranger",ISNUMBER(J134)),J134,"")</f>
        <v/>
      </c>
      <c r="AB134" s="25" t="str">
        <f aca="false">IF(AND(T134="stranger",H134="voice",ISNUMBER(J134)),J134,"")</f>
        <v/>
      </c>
      <c r="AC134" s="25" t="str">
        <f aca="false">IF(AND(T134="stranger",H134="text",ISNUMBER(J134)),J134,"")</f>
        <v/>
      </c>
      <c r="AD134" s="25" t="str">
        <f aca="false">IF(AND(T134="stranger",ISNUMBER(O134)),O134,"")</f>
        <v/>
      </c>
      <c r="AE134" s="25" t="str">
        <f aca="false">IF(AND(T134="stranger",ISNUMBER(P134)),P134,"")</f>
        <v/>
      </c>
      <c r="AF134" s="25" t="str">
        <f aca="false">IF(AND(T134="friends &amp; family",ISNUMBER(L134)),L134,"")</f>
        <v/>
      </c>
      <c r="AG134" s="9"/>
    </row>
    <row r="135" customFormat="false" ht="1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25" t="str">
        <f aca="false">IF(AND(T135="stranger",ISNUMBER(L135)),L135,"")</f>
        <v/>
      </c>
      <c r="V135" s="25" t="str">
        <f aca="false">IF(AND(T135="stranger",H135="voice",ISNUMBER(L135)),L135,"")</f>
        <v/>
      </c>
      <c r="W135" s="25" t="str">
        <f aca="false">IF(AND(T135="stranger",H135="text",ISNUMBER(L135)),L135,"")</f>
        <v/>
      </c>
      <c r="X135" s="25" t="str">
        <f aca="false">IF(AND(T135="stranger",ISNUMBER(M135)),M135,"")</f>
        <v/>
      </c>
      <c r="Y135" s="25" t="str">
        <f aca="false">IF(AND(T135="stranger",H135="voice",ISNUMBER(M135)),M135,"")</f>
        <v/>
      </c>
      <c r="Z135" s="25" t="str">
        <f aca="false">IF(AND(T135="stranger",H135="text",ISNUMBER(M135)),M135,"")</f>
        <v/>
      </c>
      <c r="AA135" s="25" t="str">
        <f aca="false">IF(AND(T135="stranger",ISNUMBER(J135)),J135,"")</f>
        <v/>
      </c>
      <c r="AB135" s="25" t="str">
        <f aca="false">IF(AND(T135="stranger",H135="voice",ISNUMBER(J135)),J135,"")</f>
        <v/>
      </c>
      <c r="AC135" s="25" t="str">
        <f aca="false">IF(AND(T135="stranger",H135="text",ISNUMBER(J135)),J135,"")</f>
        <v/>
      </c>
      <c r="AD135" s="25" t="str">
        <f aca="false">IF(AND(T135="stranger",ISNUMBER(O135)),O135,"")</f>
        <v/>
      </c>
      <c r="AE135" s="25" t="str">
        <f aca="false">IF(AND(T135="stranger",ISNUMBER(P135)),P135,"")</f>
        <v/>
      </c>
      <c r="AF135" s="25" t="str">
        <f aca="false">IF(AND(T135="friends &amp; family",ISNUMBER(L135)),L135,"")</f>
        <v/>
      </c>
      <c r="AG135" s="9"/>
    </row>
    <row r="136" customFormat="false" ht="1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25" t="str">
        <f aca="false">IF(AND(T136="stranger",ISNUMBER(L136)),L136,"")</f>
        <v/>
      </c>
      <c r="V136" s="25" t="str">
        <f aca="false">IF(AND(T136="stranger",H136="voice",ISNUMBER(L136)),L136,"")</f>
        <v/>
      </c>
      <c r="W136" s="25" t="str">
        <f aca="false">IF(AND(T136="stranger",H136="text",ISNUMBER(L136)),L136,"")</f>
        <v/>
      </c>
      <c r="X136" s="25" t="str">
        <f aca="false">IF(AND(T136="stranger",ISNUMBER(M136)),M136,"")</f>
        <v/>
      </c>
      <c r="Y136" s="25" t="str">
        <f aca="false">IF(AND(T136="stranger",H136="voice",ISNUMBER(M136)),M136,"")</f>
        <v/>
      </c>
      <c r="Z136" s="25" t="str">
        <f aca="false">IF(AND(T136="stranger",H136="text",ISNUMBER(M136)),M136,"")</f>
        <v/>
      </c>
      <c r="AA136" s="25" t="str">
        <f aca="false">IF(AND(T136="stranger",ISNUMBER(J136)),J136,"")</f>
        <v/>
      </c>
      <c r="AB136" s="25" t="str">
        <f aca="false">IF(AND(T136="stranger",H136="voice",ISNUMBER(J136)),J136,"")</f>
        <v/>
      </c>
      <c r="AC136" s="25" t="str">
        <f aca="false">IF(AND(T136="stranger",H136="text",ISNUMBER(J136)),J136,"")</f>
        <v/>
      </c>
      <c r="AD136" s="25" t="str">
        <f aca="false">IF(AND(T136="stranger",ISNUMBER(O136)),O136,"")</f>
        <v/>
      </c>
      <c r="AE136" s="25" t="str">
        <f aca="false">IF(AND(T136="stranger",ISNUMBER(P136)),P136,"")</f>
        <v/>
      </c>
      <c r="AF136" s="25" t="str">
        <f aca="false">IF(AND(T136="friends &amp; family",ISNUMBER(L136)),L136,"")</f>
        <v/>
      </c>
      <c r="AG136" s="9"/>
    </row>
    <row r="137" customFormat="false" ht="1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25" t="str">
        <f aca="false">IF(AND(T137="stranger",ISNUMBER(L137)),L137,"")</f>
        <v/>
      </c>
      <c r="V137" s="25" t="str">
        <f aca="false">IF(AND(T137="stranger",H137="voice",ISNUMBER(L137)),L137,"")</f>
        <v/>
      </c>
      <c r="W137" s="25" t="str">
        <f aca="false">IF(AND(T137="stranger",H137="text",ISNUMBER(L137)),L137,"")</f>
        <v/>
      </c>
      <c r="X137" s="25" t="str">
        <f aca="false">IF(AND(T137="stranger",ISNUMBER(M137)),M137,"")</f>
        <v/>
      </c>
      <c r="Y137" s="25" t="str">
        <f aca="false">IF(AND(T137="stranger",H137="voice",ISNUMBER(M137)),M137,"")</f>
        <v/>
      </c>
      <c r="Z137" s="25" t="str">
        <f aca="false">IF(AND(T137="stranger",H137="text",ISNUMBER(M137)),M137,"")</f>
        <v/>
      </c>
      <c r="AA137" s="25" t="str">
        <f aca="false">IF(AND(T137="stranger",ISNUMBER(J137)),J137,"")</f>
        <v/>
      </c>
      <c r="AB137" s="25" t="str">
        <f aca="false">IF(AND(T137="stranger",H137="voice",ISNUMBER(J137)),J137,"")</f>
        <v/>
      </c>
      <c r="AC137" s="25" t="str">
        <f aca="false">IF(AND(T137="stranger",H137="text",ISNUMBER(J137)),J137,"")</f>
        <v/>
      </c>
      <c r="AD137" s="25" t="str">
        <f aca="false">IF(AND(T137="stranger",ISNUMBER(O137)),O137,"")</f>
        <v/>
      </c>
      <c r="AE137" s="25" t="str">
        <f aca="false">IF(AND(T137="stranger",ISNUMBER(P137)),P137,"")</f>
        <v/>
      </c>
      <c r="AF137" s="25" t="str">
        <f aca="false">IF(AND(T137="friends &amp; family",ISNUMBER(L137)),L137,"")</f>
        <v/>
      </c>
      <c r="AG137" s="9"/>
    </row>
    <row r="138" customFormat="false" ht="1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25" t="str">
        <f aca="false">IF(AND(T138="stranger",ISNUMBER(L138)),L138,"")</f>
        <v/>
      </c>
      <c r="V138" s="25" t="str">
        <f aca="false">IF(AND(T138="stranger",H138="voice",ISNUMBER(L138)),L138,"")</f>
        <v/>
      </c>
      <c r="W138" s="25" t="str">
        <f aca="false">IF(AND(T138="stranger",H138="text",ISNUMBER(L138)),L138,"")</f>
        <v/>
      </c>
      <c r="X138" s="25" t="str">
        <f aca="false">IF(AND(T138="stranger",ISNUMBER(M138)),M138,"")</f>
        <v/>
      </c>
      <c r="Y138" s="25" t="str">
        <f aca="false">IF(AND(T138="stranger",H138="voice",ISNUMBER(M138)),M138,"")</f>
        <v/>
      </c>
      <c r="Z138" s="25" t="str">
        <f aca="false">IF(AND(T138="stranger",H138="text",ISNUMBER(M138)),M138,"")</f>
        <v/>
      </c>
      <c r="AA138" s="25" t="str">
        <f aca="false">IF(AND(T138="stranger",ISNUMBER(J138)),J138,"")</f>
        <v/>
      </c>
      <c r="AB138" s="25" t="str">
        <f aca="false">IF(AND(T138="stranger",H138="voice",ISNUMBER(J138)),J138,"")</f>
        <v/>
      </c>
      <c r="AC138" s="25" t="str">
        <f aca="false">IF(AND(T138="stranger",H138="text",ISNUMBER(J138)),J138,"")</f>
        <v/>
      </c>
      <c r="AD138" s="25" t="str">
        <f aca="false">IF(AND(T138="stranger",ISNUMBER(O138)),O138,"")</f>
        <v/>
      </c>
      <c r="AE138" s="25" t="str">
        <f aca="false">IF(AND(T138="stranger",ISNUMBER(P138)),P138,"")</f>
        <v/>
      </c>
      <c r="AF138" s="25" t="str">
        <f aca="false">IF(AND(T138="friends &amp; family",ISNUMBER(L138)),L138,"")</f>
        <v/>
      </c>
      <c r="AG138" s="9"/>
    </row>
    <row r="139" customFormat="false" ht="1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25" t="str">
        <f aca="false">IF(AND(T139="stranger",ISNUMBER(L139)),L139,"")</f>
        <v/>
      </c>
      <c r="V139" s="25" t="str">
        <f aca="false">IF(AND(T139="stranger",H139="voice",ISNUMBER(L139)),L139,"")</f>
        <v/>
      </c>
      <c r="W139" s="25" t="str">
        <f aca="false">IF(AND(T139="stranger",H139="text",ISNUMBER(L139)),L139,"")</f>
        <v/>
      </c>
      <c r="X139" s="25" t="str">
        <f aca="false">IF(AND(T139="stranger",ISNUMBER(M139)),M139,"")</f>
        <v/>
      </c>
      <c r="Y139" s="25" t="str">
        <f aca="false">IF(AND(T139="stranger",H139="voice",ISNUMBER(M139)),M139,"")</f>
        <v/>
      </c>
      <c r="Z139" s="25" t="str">
        <f aca="false">IF(AND(T139="stranger",H139="text",ISNUMBER(M139)),M139,"")</f>
        <v/>
      </c>
      <c r="AA139" s="25" t="str">
        <f aca="false">IF(AND(T139="stranger",ISNUMBER(J139)),J139,"")</f>
        <v/>
      </c>
      <c r="AB139" s="25" t="str">
        <f aca="false">IF(AND(T139="stranger",H139="voice",ISNUMBER(J139)),J139,"")</f>
        <v/>
      </c>
      <c r="AC139" s="25" t="str">
        <f aca="false">IF(AND(T139="stranger",H139="text",ISNUMBER(J139)),J139,"")</f>
        <v/>
      </c>
      <c r="AD139" s="25" t="str">
        <f aca="false">IF(AND(T139="stranger",ISNUMBER(O139)),O139,"")</f>
        <v/>
      </c>
      <c r="AE139" s="25" t="str">
        <f aca="false">IF(AND(T139="stranger",ISNUMBER(P139)),P139,"")</f>
        <v/>
      </c>
      <c r="AF139" s="25" t="str">
        <f aca="false">IF(AND(T139="friends &amp; family",ISNUMBER(L139)),L139,"")</f>
        <v/>
      </c>
      <c r="AG139" s="9"/>
    </row>
    <row r="140" customFormat="false" ht="1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25" t="str">
        <f aca="false">IF(AND(T140="stranger",ISNUMBER(L140)),L140,"")</f>
        <v/>
      </c>
      <c r="V140" s="25" t="str">
        <f aca="false">IF(AND(T140="stranger",H140="voice",ISNUMBER(L140)),L140,"")</f>
        <v/>
      </c>
      <c r="W140" s="25" t="str">
        <f aca="false">IF(AND(T140="stranger",H140="text",ISNUMBER(L140)),L140,"")</f>
        <v/>
      </c>
      <c r="X140" s="25" t="str">
        <f aca="false">IF(AND(T140="stranger",ISNUMBER(M140)),M140,"")</f>
        <v/>
      </c>
      <c r="Y140" s="25" t="str">
        <f aca="false">IF(AND(T140="stranger",H140="voice",ISNUMBER(M140)),M140,"")</f>
        <v/>
      </c>
      <c r="Z140" s="25" t="str">
        <f aca="false">IF(AND(T140="stranger",H140="text",ISNUMBER(M140)),M140,"")</f>
        <v/>
      </c>
      <c r="AA140" s="25" t="str">
        <f aca="false">IF(AND(T140="stranger",ISNUMBER(J140)),J140,"")</f>
        <v/>
      </c>
      <c r="AB140" s="25" t="str">
        <f aca="false">IF(AND(T140="stranger",H140="voice",ISNUMBER(J140)),J140,"")</f>
        <v/>
      </c>
      <c r="AC140" s="25" t="str">
        <f aca="false">IF(AND(T140="stranger",H140="text",ISNUMBER(J140)),J140,"")</f>
        <v/>
      </c>
      <c r="AD140" s="25" t="str">
        <f aca="false">IF(AND(T140="stranger",ISNUMBER(O140)),O140,"")</f>
        <v/>
      </c>
      <c r="AE140" s="25" t="str">
        <f aca="false">IF(AND(T140="stranger",ISNUMBER(P140)),P140,"")</f>
        <v/>
      </c>
      <c r="AF140" s="25" t="str">
        <f aca="false">IF(AND(T140="friends &amp; family",ISNUMBER(L140)),L140,"")</f>
        <v/>
      </c>
      <c r="AG140" s="9"/>
    </row>
    <row r="141" customFormat="false" ht="1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25" t="str">
        <f aca="false">IF(AND(T141="stranger",ISNUMBER(L141)),L141,"")</f>
        <v/>
      </c>
      <c r="V141" s="25" t="str">
        <f aca="false">IF(AND(T141="stranger",H141="voice",ISNUMBER(L141)),L141,"")</f>
        <v/>
      </c>
      <c r="W141" s="25" t="str">
        <f aca="false">IF(AND(T141="stranger",H141="text",ISNUMBER(L141)),L141,"")</f>
        <v/>
      </c>
      <c r="X141" s="25" t="str">
        <f aca="false">IF(AND(T141="stranger",ISNUMBER(M141)),M141,"")</f>
        <v/>
      </c>
      <c r="Y141" s="25" t="str">
        <f aca="false">IF(AND(T141="stranger",H141="voice",ISNUMBER(M141)),M141,"")</f>
        <v/>
      </c>
      <c r="Z141" s="25" t="str">
        <f aca="false">IF(AND(T141="stranger",H141="text",ISNUMBER(M141)),M141,"")</f>
        <v/>
      </c>
      <c r="AA141" s="25" t="str">
        <f aca="false">IF(AND(T141="stranger",ISNUMBER(J141)),J141,"")</f>
        <v/>
      </c>
      <c r="AB141" s="25" t="str">
        <f aca="false">IF(AND(T141="stranger",H141="voice",ISNUMBER(J141)),J141,"")</f>
        <v/>
      </c>
      <c r="AC141" s="25" t="str">
        <f aca="false">IF(AND(T141="stranger",H141="text",ISNUMBER(J141)),J141,"")</f>
        <v/>
      </c>
      <c r="AD141" s="25" t="str">
        <f aca="false">IF(AND(T141="stranger",ISNUMBER(O141)),O141,"")</f>
        <v/>
      </c>
      <c r="AE141" s="25" t="str">
        <f aca="false">IF(AND(T141="stranger",ISNUMBER(P141)),P141,"")</f>
        <v/>
      </c>
      <c r="AF141" s="25" t="str">
        <f aca="false">IF(AND(T141="friends &amp; family",ISNUMBER(L141)),L141,"")</f>
        <v/>
      </c>
      <c r="AG141" s="9"/>
    </row>
    <row r="142" customFormat="false" ht="1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25" t="str">
        <f aca="false">IF(AND(T142="stranger",ISNUMBER(L142)),L142,"")</f>
        <v/>
      </c>
      <c r="V142" s="25" t="str">
        <f aca="false">IF(AND(T142="stranger",H142="voice",ISNUMBER(L142)),L142,"")</f>
        <v/>
      </c>
      <c r="W142" s="25" t="str">
        <f aca="false">IF(AND(T142="stranger",H142="text",ISNUMBER(L142)),L142,"")</f>
        <v/>
      </c>
      <c r="X142" s="25" t="str">
        <f aca="false">IF(AND(T142="stranger",ISNUMBER(M142)),M142,"")</f>
        <v/>
      </c>
      <c r="Y142" s="25" t="str">
        <f aca="false">IF(AND(T142="stranger",H142="voice",ISNUMBER(M142)),M142,"")</f>
        <v/>
      </c>
      <c r="Z142" s="25" t="str">
        <f aca="false">IF(AND(T142="stranger",H142="text",ISNUMBER(M142)),M142,"")</f>
        <v/>
      </c>
      <c r="AA142" s="25" t="str">
        <f aca="false">IF(AND(T142="stranger",ISNUMBER(J142)),J142,"")</f>
        <v/>
      </c>
      <c r="AB142" s="25" t="str">
        <f aca="false">IF(AND(T142="stranger",H142="voice",ISNUMBER(J142)),J142,"")</f>
        <v/>
      </c>
      <c r="AC142" s="25" t="str">
        <f aca="false">IF(AND(T142="stranger",H142="text",ISNUMBER(J142)),J142,"")</f>
        <v/>
      </c>
      <c r="AD142" s="25" t="str">
        <f aca="false">IF(AND(T142="stranger",ISNUMBER(O142)),O142,"")</f>
        <v/>
      </c>
      <c r="AE142" s="25" t="str">
        <f aca="false">IF(AND(T142="stranger",ISNUMBER(P142)),P142,"")</f>
        <v/>
      </c>
      <c r="AF142" s="25" t="str">
        <f aca="false">IF(AND(T142="friends &amp; family",ISNUMBER(L142)),L142,"")</f>
        <v/>
      </c>
      <c r="AG142" s="9"/>
    </row>
    <row r="143" customFormat="false" ht="1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25" t="str">
        <f aca="false">IF(AND(T143="stranger",ISNUMBER(L143)),L143,"")</f>
        <v/>
      </c>
      <c r="V143" s="25" t="str">
        <f aca="false">IF(AND(T143="stranger",H143="voice",ISNUMBER(L143)),L143,"")</f>
        <v/>
      </c>
      <c r="W143" s="25" t="str">
        <f aca="false">IF(AND(T143="stranger",H143="text",ISNUMBER(L143)),L143,"")</f>
        <v/>
      </c>
      <c r="X143" s="25" t="str">
        <f aca="false">IF(AND(T143="stranger",ISNUMBER(M143)),M143,"")</f>
        <v/>
      </c>
      <c r="Y143" s="25" t="str">
        <f aca="false">IF(AND(T143="stranger",H143="voice",ISNUMBER(M143)),M143,"")</f>
        <v/>
      </c>
      <c r="Z143" s="25" t="str">
        <f aca="false">IF(AND(T143="stranger",H143="text",ISNUMBER(M143)),M143,"")</f>
        <v/>
      </c>
      <c r="AA143" s="25" t="str">
        <f aca="false">IF(AND(T143="stranger",ISNUMBER(J143)),J143,"")</f>
        <v/>
      </c>
      <c r="AB143" s="25" t="str">
        <f aca="false">IF(AND(T143="stranger",H143="voice",ISNUMBER(J143)),J143,"")</f>
        <v/>
      </c>
      <c r="AC143" s="25" t="str">
        <f aca="false">IF(AND(T143="stranger",H143="text",ISNUMBER(J143)),J143,"")</f>
        <v/>
      </c>
      <c r="AD143" s="25" t="str">
        <f aca="false">IF(AND(T143="stranger",ISNUMBER(O143)),O143,"")</f>
        <v/>
      </c>
      <c r="AE143" s="25" t="str">
        <f aca="false">IF(AND(T143="stranger",ISNUMBER(P143)),P143,"")</f>
        <v/>
      </c>
      <c r="AF143" s="25" t="str">
        <f aca="false">IF(AND(T143="friends &amp; family",ISNUMBER(L143)),L143,"")</f>
        <v/>
      </c>
      <c r="AG143" s="9"/>
    </row>
    <row r="144" customFormat="false" ht="1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25" t="str">
        <f aca="false">IF(AND(T144="stranger",ISNUMBER(L144)),L144,"")</f>
        <v/>
      </c>
      <c r="V144" s="25" t="str">
        <f aca="false">IF(AND(T144="stranger",H144="voice",ISNUMBER(L144)),L144,"")</f>
        <v/>
      </c>
      <c r="W144" s="25" t="str">
        <f aca="false">IF(AND(T144="stranger",H144="text",ISNUMBER(L144)),L144,"")</f>
        <v/>
      </c>
      <c r="X144" s="25" t="str">
        <f aca="false">IF(AND(T144="stranger",ISNUMBER(M144)),M144,"")</f>
        <v/>
      </c>
      <c r="Y144" s="25" t="str">
        <f aca="false">IF(AND(T144="stranger",H144="voice",ISNUMBER(M144)),M144,"")</f>
        <v/>
      </c>
      <c r="Z144" s="25" t="str">
        <f aca="false">IF(AND(T144="stranger",H144="text",ISNUMBER(M144)),M144,"")</f>
        <v/>
      </c>
      <c r="AA144" s="25" t="str">
        <f aca="false">IF(AND(T144="stranger",ISNUMBER(J144)),J144,"")</f>
        <v/>
      </c>
      <c r="AB144" s="25" t="str">
        <f aca="false">IF(AND(T144="stranger",H144="voice",ISNUMBER(J144)),J144,"")</f>
        <v/>
      </c>
      <c r="AC144" s="25" t="str">
        <f aca="false">IF(AND(T144="stranger",H144="text",ISNUMBER(J144)),J144,"")</f>
        <v/>
      </c>
      <c r="AD144" s="25" t="str">
        <f aca="false">IF(AND(T144="stranger",ISNUMBER(O144)),O144,"")</f>
        <v/>
      </c>
      <c r="AE144" s="25" t="str">
        <f aca="false">IF(AND(T144="stranger",ISNUMBER(P144)),P144,"")</f>
        <v/>
      </c>
      <c r="AF144" s="25" t="str">
        <f aca="false">IF(AND(T144="friends &amp; family",ISNUMBER(L144)),L144,"")</f>
        <v/>
      </c>
      <c r="AG144" s="9"/>
    </row>
    <row r="145" customFormat="false" ht="1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25" t="str">
        <f aca="false">IF(AND(T145="stranger",ISNUMBER(L145)),L145,"")</f>
        <v/>
      </c>
      <c r="V145" s="25" t="str">
        <f aca="false">IF(AND(T145="stranger",H145="voice",ISNUMBER(L145)),L145,"")</f>
        <v/>
      </c>
      <c r="W145" s="25" t="str">
        <f aca="false">IF(AND(T145="stranger",H145="text",ISNUMBER(L145)),L145,"")</f>
        <v/>
      </c>
      <c r="X145" s="25" t="str">
        <f aca="false">IF(AND(T145="stranger",ISNUMBER(M145)),M145,"")</f>
        <v/>
      </c>
      <c r="Y145" s="25" t="str">
        <f aca="false">IF(AND(T145="stranger",H145="voice",ISNUMBER(M145)),M145,"")</f>
        <v/>
      </c>
      <c r="Z145" s="25" t="str">
        <f aca="false">IF(AND(T145="stranger",H145="text",ISNUMBER(M145)),M145,"")</f>
        <v/>
      </c>
      <c r="AA145" s="25" t="str">
        <f aca="false">IF(AND(T145="stranger",ISNUMBER(J145)),J145,"")</f>
        <v/>
      </c>
      <c r="AB145" s="25" t="str">
        <f aca="false">IF(AND(T145="stranger",H145="voice",ISNUMBER(J145)),J145,"")</f>
        <v/>
      </c>
      <c r="AC145" s="25" t="str">
        <f aca="false">IF(AND(T145="stranger",H145="text",ISNUMBER(J145)),J145,"")</f>
        <v/>
      </c>
      <c r="AD145" s="25" t="str">
        <f aca="false">IF(AND(T145="stranger",ISNUMBER(O145)),O145,"")</f>
        <v/>
      </c>
      <c r="AE145" s="25" t="str">
        <f aca="false">IF(AND(T145="stranger",ISNUMBER(P145)),P145,"")</f>
        <v/>
      </c>
      <c r="AF145" s="25" t="str">
        <f aca="false">IF(AND(T145="friends &amp; family",ISNUMBER(L145)),L145,"")</f>
        <v/>
      </c>
      <c r="AG145" s="9"/>
    </row>
    <row r="146" customFormat="false" ht="1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25" t="str">
        <f aca="false">IF(AND(T146="stranger",ISNUMBER(L146)),L146,"")</f>
        <v/>
      </c>
      <c r="V146" s="25" t="str">
        <f aca="false">IF(AND(T146="stranger",H146="voice",ISNUMBER(L146)),L146,"")</f>
        <v/>
      </c>
      <c r="W146" s="25" t="str">
        <f aca="false">IF(AND(T146="stranger",H146="text",ISNUMBER(L146)),L146,"")</f>
        <v/>
      </c>
      <c r="X146" s="25" t="str">
        <f aca="false">IF(AND(T146="stranger",ISNUMBER(M146)),M146,"")</f>
        <v/>
      </c>
      <c r="Y146" s="25" t="str">
        <f aca="false">IF(AND(T146="stranger",H146="voice",ISNUMBER(M146)),M146,"")</f>
        <v/>
      </c>
      <c r="Z146" s="25" t="str">
        <f aca="false">IF(AND(T146="stranger",H146="text",ISNUMBER(M146)),M146,"")</f>
        <v/>
      </c>
      <c r="AA146" s="25" t="str">
        <f aca="false">IF(AND(T146="stranger",ISNUMBER(J146)),J146,"")</f>
        <v/>
      </c>
      <c r="AB146" s="25" t="str">
        <f aca="false">IF(AND(T146="stranger",H146="voice",ISNUMBER(J146)),J146,"")</f>
        <v/>
      </c>
      <c r="AC146" s="25" t="str">
        <f aca="false">IF(AND(T146="stranger",H146="text",ISNUMBER(J146)),J146,"")</f>
        <v/>
      </c>
      <c r="AD146" s="25" t="str">
        <f aca="false">IF(AND(T146="stranger",ISNUMBER(O146)),O146,"")</f>
        <v/>
      </c>
      <c r="AE146" s="25" t="str">
        <f aca="false">IF(AND(T146="stranger",ISNUMBER(P146)),P146,"")</f>
        <v/>
      </c>
      <c r="AF146" s="25" t="str">
        <f aca="false">IF(AND(T146="friends &amp; family",ISNUMBER(L146)),L146,"")</f>
        <v/>
      </c>
      <c r="AG146" s="9"/>
    </row>
    <row r="147" customFormat="false" ht="1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25" t="str">
        <f aca="false">IF(AND(T147="stranger",ISNUMBER(L147)),L147,"")</f>
        <v/>
      </c>
      <c r="V147" s="25" t="str">
        <f aca="false">IF(AND(T147="stranger",H147="voice",ISNUMBER(L147)),L147,"")</f>
        <v/>
      </c>
      <c r="W147" s="25" t="str">
        <f aca="false">IF(AND(T147="stranger",H147="text",ISNUMBER(L147)),L147,"")</f>
        <v/>
      </c>
      <c r="X147" s="25" t="str">
        <f aca="false">IF(AND(T147="stranger",ISNUMBER(M147)),M147,"")</f>
        <v/>
      </c>
      <c r="Y147" s="25" t="str">
        <f aca="false">IF(AND(T147="stranger",H147="voice",ISNUMBER(M147)),M147,"")</f>
        <v/>
      </c>
      <c r="Z147" s="25" t="str">
        <f aca="false">IF(AND(T147="stranger",H147="text",ISNUMBER(M147)),M147,"")</f>
        <v/>
      </c>
      <c r="AA147" s="25" t="str">
        <f aca="false">IF(AND(T147="stranger",ISNUMBER(J147)),J147,"")</f>
        <v/>
      </c>
      <c r="AB147" s="25" t="str">
        <f aca="false">IF(AND(T147="stranger",H147="voice",ISNUMBER(J147)),J147,"")</f>
        <v/>
      </c>
      <c r="AC147" s="25" t="str">
        <f aca="false">IF(AND(T147="stranger",H147="text",ISNUMBER(J147)),J147,"")</f>
        <v/>
      </c>
      <c r="AD147" s="25" t="str">
        <f aca="false">IF(AND(T147="stranger",ISNUMBER(O147)),O147,"")</f>
        <v/>
      </c>
      <c r="AE147" s="25" t="str">
        <f aca="false">IF(AND(T147="stranger",ISNUMBER(P147)),P147,"")</f>
        <v/>
      </c>
      <c r="AF147" s="25" t="str">
        <f aca="false">IF(AND(T147="friends &amp; family",ISNUMBER(L147)),L147,"")</f>
        <v/>
      </c>
      <c r="AG147" s="9"/>
    </row>
    <row r="148" customFormat="false" ht="1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25" t="str">
        <f aca="false">IF(AND(T148="stranger",ISNUMBER(L148)),L148,"")</f>
        <v/>
      </c>
      <c r="V148" s="25" t="str">
        <f aca="false">IF(AND(T148="stranger",H148="voice",ISNUMBER(L148)),L148,"")</f>
        <v/>
      </c>
      <c r="W148" s="25" t="str">
        <f aca="false">IF(AND(T148="stranger",H148="text",ISNUMBER(L148)),L148,"")</f>
        <v/>
      </c>
      <c r="X148" s="25" t="str">
        <f aca="false">IF(AND(T148="stranger",ISNUMBER(M148)),M148,"")</f>
        <v/>
      </c>
      <c r="Y148" s="25" t="str">
        <f aca="false">IF(AND(T148="stranger",H148="voice",ISNUMBER(M148)),M148,"")</f>
        <v/>
      </c>
      <c r="Z148" s="25" t="str">
        <f aca="false">IF(AND(T148="stranger",H148="text",ISNUMBER(M148)),M148,"")</f>
        <v/>
      </c>
      <c r="AA148" s="25" t="str">
        <f aca="false">IF(AND(T148="stranger",ISNUMBER(J148)),J148,"")</f>
        <v/>
      </c>
      <c r="AB148" s="25" t="str">
        <f aca="false">IF(AND(T148="stranger",H148="voice",ISNUMBER(J148)),J148,"")</f>
        <v/>
      </c>
      <c r="AC148" s="25" t="str">
        <f aca="false">IF(AND(T148="stranger",H148="text",ISNUMBER(J148)),J148,"")</f>
        <v/>
      </c>
      <c r="AD148" s="25" t="str">
        <f aca="false">IF(AND(T148="stranger",ISNUMBER(O148)),O148,"")</f>
        <v/>
      </c>
      <c r="AE148" s="25" t="str">
        <f aca="false">IF(AND(T148="stranger",ISNUMBER(P148)),P148,"")</f>
        <v/>
      </c>
      <c r="AF148" s="25" t="str">
        <f aca="false">IF(AND(T148="friends &amp; family",ISNUMBER(L148)),L148,"")</f>
        <v/>
      </c>
      <c r="AG148" s="9"/>
    </row>
    <row r="149" customFormat="false" ht="1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25" t="str">
        <f aca="false">IF(AND(T149="stranger",ISNUMBER(L149)),L149,"")</f>
        <v/>
      </c>
      <c r="V149" s="25" t="str">
        <f aca="false">IF(AND(T149="stranger",H149="voice",ISNUMBER(L149)),L149,"")</f>
        <v/>
      </c>
      <c r="W149" s="25" t="str">
        <f aca="false">IF(AND(T149="stranger",H149="text",ISNUMBER(L149)),L149,"")</f>
        <v/>
      </c>
      <c r="X149" s="25" t="str">
        <f aca="false">IF(AND(T149="stranger",ISNUMBER(M149)),M149,"")</f>
        <v/>
      </c>
      <c r="Y149" s="25" t="str">
        <f aca="false">IF(AND(T149="stranger",H149="voice",ISNUMBER(M149)),M149,"")</f>
        <v/>
      </c>
      <c r="Z149" s="25" t="str">
        <f aca="false">IF(AND(T149="stranger",H149="text",ISNUMBER(M149)),M149,"")</f>
        <v/>
      </c>
      <c r="AA149" s="25" t="str">
        <f aca="false">IF(AND(T149="stranger",ISNUMBER(J149)),J149,"")</f>
        <v/>
      </c>
      <c r="AB149" s="25" t="str">
        <f aca="false">IF(AND(T149="stranger",H149="voice",ISNUMBER(J149)),J149,"")</f>
        <v/>
      </c>
      <c r="AC149" s="25" t="str">
        <f aca="false">IF(AND(T149="stranger",H149="text",ISNUMBER(J149)),J149,"")</f>
        <v/>
      </c>
      <c r="AD149" s="25" t="str">
        <f aca="false">IF(AND(T149="stranger",ISNUMBER(O149)),O149,"")</f>
        <v/>
      </c>
      <c r="AE149" s="25" t="str">
        <f aca="false">IF(AND(T149="stranger",ISNUMBER(P149)),P149,"")</f>
        <v/>
      </c>
      <c r="AF149" s="25" t="str">
        <f aca="false">IF(AND(T149="friends &amp; family",ISNUMBER(L149)),L149,"")</f>
        <v/>
      </c>
      <c r="AG149" s="9"/>
    </row>
    <row r="150" customFormat="false" ht="1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25" t="str">
        <f aca="false">IF(AND(T150="stranger",ISNUMBER(L150)),L150,"")</f>
        <v/>
      </c>
      <c r="V150" s="25" t="str">
        <f aca="false">IF(AND(T150="stranger",H150="voice",ISNUMBER(L150)),L150,"")</f>
        <v/>
      </c>
      <c r="W150" s="25" t="str">
        <f aca="false">IF(AND(T150="stranger",H150="text",ISNUMBER(L150)),L150,"")</f>
        <v/>
      </c>
      <c r="X150" s="25" t="str">
        <f aca="false">IF(AND(T150="stranger",ISNUMBER(M150)),M150,"")</f>
        <v/>
      </c>
      <c r="Y150" s="25" t="str">
        <f aca="false">IF(AND(T150="stranger",H150="voice",ISNUMBER(M150)),M150,"")</f>
        <v/>
      </c>
      <c r="Z150" s="25" t="str">
        <f aca="false">IF(AND(T150="stranger",H150="text",ISNUMBER(M150)),M150,"")</f>
        <v/>
      </c>
      <c r="AA150" s="25" t="str">
        <f aca="false">IF(AND(T150="stranger",ISNUMBER(J150)),J150,"")</f>
        <v/>
      </c>
      <c r="AB150" s="25" t="str">
        <f aca="false">IF(AND(T150="stranger",H150="voice",ISNUMBER(J150)),J150,"")</f>
        <v/>
      </c>
      <c r="AC150" s="25" t="str">
        <f aca="false">IF(AND(T150="stranger",H150="text",ISNUMBER(J150)),J150,"")</f>
        <v/>
      </c>
      <c r="AD150" s="25" t="str">
        <f aca="false">IF(AND(T150="stranger",ISNUMBER(O150)),O150,"")</f>
        <v/>
      </c>
      <c r="AE150" s="25" t="str">
        <f aca="false">IF(AND(T150="stranger",ISNUMBER(P150)),P150,"")</f>
        <v/>
      </c>
      <c r="AF150" s="25" t="str">
        <f aca="false">IF(AND(T150="friends &amp; family",ISNUMBER(L150)),L150,"")</f>
        <v/>
      </c>
      <c r="AG150" s="9"/>
    </row>
    <row r="151" customFormat="false" ht="1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25" t="str">
        <f aca="false">IF(AND(T151="stranger",ISNUMBER(L151)),L151,"")</f>
        <v/>
      </c>
      <c r="V151" s="25" t="str">
        <f aca="false">IF(AND(T151="stranger",H151="voice",ISNUMBER(L151)),L151,"")</f>
        <v/>
      </c>
      <c r="W151" s="25" t="str">
        <f aca="false">IF(AND(T151="stranger",H151="text",ISNUMBER(L151)),L151,"")</f>
        <v/>
      </c>
      <c r="X151" s="25" t="str">
        <f aca="false">IF(AND(T151="stranger",ISNUMBER(M151)),M151,"")</f>
        <v/>
      </c>
      <c r="Y151" s="25" t="str">
        <f aca="false">IF(AND(T151="stranger",H151="voice",ISNUMBER(M151)),M151,"")</f>
        <v/>
      </c>
      <c r="Z151" s="25" t="str">
        <f aca="false">IF(AND(T151="stranger",H151="text",ISNUMBER(M151)),M151,"")</f>
        <v/>
      </c>
      <c r="AA151" s="25" t="str">
        <f aca="false">IF(AND(T151="stranger",ISNUMBER(J151)),J151,"")</f>
        <v/>
      </c>
      <c r="AB151" s="25" t="str">
        <f aca="false">IF(AND(T151="stranger",H151="voice",ISNUMBER(J151)),J151,"")</f>
        <v/>
      </c>
      <c r="AC151" s="25" t="str">
        <f aca="false">IF(AND(T151="stranger",H151="text",ISNUMBER(J151)),J151,"")</f>
        <v/>
      </c>
      <c r="AD151" s="25" t="str">
        <f aca="false">IF(AND(T151="stranger",ISNUMBER(O151)),O151,"")</f>
        <v/>
      </c>
      <c r="AE151" s="25" t="str">
        <f aca="false">IF(AND(T151="stranger",ISNUMBER(P151)),P151,"")</f>
        <v/>
      </c>
      <c r="AF151" s="25" t="str">
        <f aca="false">IF(AND(T151="friends &amp; family",ISNUMBER(L151)),L151,"")</f>
        <v/>
      </c>
      <c r="AG151" s="9"/>
    </row>
    <row r="152" customFormat="false" ht="1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25" t="str">
        <f aca="false">IF(AND(T152="stranger",ISNUMBER(L152)),L152,"")</f>
        <v/>
      </c>
      <c r="V152" s="25" t="str">
        <f aca="false">IF(AND(T152="stranger",H152="voice",ISNUMBER(L152)),L152,"")</f>
        <v/>
      </c>
      <c r="W152" s="25" t="str">
        <f aca="false">IF(AND(T152="stranger",H152="text",ISNUMBER(L152)),L152,"")</f>
        <v/>
      </c>
      <c r="X152" s="25" t="str">
        <f aca="false">IF(AND(T152="stranger",ISNUMBER(M152)),M152,"")</f>
        <v/>
      </c>
      <c r="Y152" s="25" t="str">
        <f aca="false">IF(AND(T152="stranger",H152="voice",ISNUMBER(M152)),M152,"")</f>
        <v/>
      </c>
      <c r="Z152" s="25" t="str">
        <f aca="false">IF(AND(T152="stranger",H152="text",ISNUMBER(M152)),M152,"")</f>
        <v/>
      </c>
      <c r="AA152" s="25" t="str">
        <f aca="false">IF(AND(T152="stranger",ISNUMBER(J152)),J152,"")</f>
        <v/>
      </c>
      <c r="AB152" s="25" t="str">
        <f aca="false">IF(AND(T152="stranger",H152="voice",ISNUMBER(J152)),J152,"")</f>
        <v/>
      </c>
      <c r="AC152" s="25" t="str">
        <f aca="false">IF(AND(T152="stranger",H152="text",ISNUMBER(J152)),J152,"")</f>
        <v/>
      </c>
      <c r="AD152" s="25" t="str">
        <f aca="false">IF(AND(T152="stranger",ISNUMBER(O152)),O152,"")</f>
        <v/>
      </c>
      <c r="AE152" s="25" t="str">
        <f aca="false">IF(AND(T152="stranger",ISNUMBER(P152)),P152,"")</f>
        <v/>
      </c>
      <c r="AF152" s="25" t="str">
        <f aca="false">IF(AND(T152="friends &amp; family",ISNUMBER(L152)),L152,"")</f>
        <v/>
      </c>
      <c r="AG152" s="9"/>
    </row>
    <row r="153" customFormat="false" ht="1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25" t="str">
        <f aca="false">IF(AND(T153="stranger",ISNUMBER(L153)),L153,"")</f>
        <v/>
      </c>
      <c r="V153" s="25" t="str">
        <f aca="false">IF(AND(T153="stranger",H153="voice",ISNUMBER(L153)),L153,"")</f>
        <v/>
      </c>
      <c r="W153" s="25" t="str">
        <f aca="false">IF(AND(T153="stranger",H153="text",ISNUMBER(L153)),L153,"")</f>
        <v/>
      </c>
      <c r="X153" s="25" t="str">
        <f aca="false">IF(AND(T153="stranger",ISNUMBER(M153)),M153,"")</f>
        <v/>
      </c>
      <c r="Y153" s="25" t="str">
        <f aca="false">IF(AND(T153="stranger",H153="voice",ISNUMBER(M153)),M153,"")</f>
        <v/>
      </c>
      <c r="Z153" s="25" t="str">
        <f aca="false">IF(AND(T153="stranger",H153="text",ISNUMBER(M153)),M153,"")</f>
        <v/>
      </c>
      <c r="AA153" s="25" t="str">
        <f aca="false">IF(AND(T153="stranger",ISNUMBER(J153)),J153,"")</f>
        <v/>
      </c>
      <c r="AB153" s="25" t="str">
        <f aca="false">IF(AND(T153="stranger",H153="voice",ISNUMBER(J153)),J153,"")</f>
        <v/>
      </c>
      <c r="AC153" s="25" t="str">
        <f aca="false">IF(AND(T153="stranger",H153="text",ISNUMBER(J153)),J153,"")</f>
        <v/>
      </c>
      <c r="AD153" s="25" t="str">
        <f aca="false">IF(AND(T153="stranger",ISNUMBER(O153)),O153,"")</f>
        <v/>
      </c>
      <c r="AE153" s="25" t="str">
        <f aca="false">IF(AND(T153="stranger",ISNUMBER(P153)),P153,"")</f>
        <v/>
      </c>
      <c r="AF153" s="25" t="str">
        <f aca="false">IF(AND(T153="friends &amp; family",ISNUMBER(L153)),L153,"")</f>
        <v/>
      </c>
      <c r="AG153" s="9"/>
    </row>
    <row r="154" customFormat="false" ht="1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25" t="str">
        <f aca="false">IF(AND(T154="stranger",ISNUMBER(L154)),L154,"")</f>
        <v/>
      </c>
      <c r="V154" s="25" t="str">
        <f aca="false">IF(AND(T154="stranger",H154="voice",ISNUMBER(L154)),L154,"")</f>
        <v/>
      </c>
      <c r="W154" s="25" t="str">
        <f aca="false">IF(AND(T154="stranger",H154="text",ISNUMBER(L154)),L154,"")</f>
        <v/>
      </c>
      <c r="X154" s="25" t="str">
        <f aca="false">IF(AND(T154="stranger",ISNUMBER(M154)),M154,"")</f>
        <v/>
      </c>
      <c r="Y154" s="25" t="str">
        <f aca="false">IF(AND(T154="stranger",H154="voice",ISNUMBER(M154)),M154,"")</f>
        <v/>
      </c>
      <c r="Z154" s="25" t="str">
        <f aca="false">IF(AND(T154="stranger",H154="text",ISNUMBER(M154)),M154,"")</f>
        <v/>
      </c>
      <c r="AA154" s="25" t="str">
        <f aca="false">IF(AND(T154="stranger",ISNUMBER(J154)),J154,"")</f>
        <v/>
      </c>
      <c r="AB154" s="25" t="str">
        <f aca="false">IF(AND(T154="stranger",H154="voice",ISNUMBER(J154)),J154,"")</f>
        <v/>
      </c>
      <c r="AC154" s="25" t="str">
        <f aca="false">IF(AND(T154="stranger",H154="text",ISNUMBER(J154)),J154,"")</f>
        <v/>
      </c>
      <c r="AD154" s="25" t="str">
        <f aca="false">IF(AND(T154="stranger",ISNUMBER(O154)),O154,"")</f>
        <v/>
      </c>
      <c r="AE154" s="25" t="str">
        <f aca="false">IF(AND(T154="stranger",ISNUMBER(P154)),P154,"")</f>
        <v/>
      </c>
      <c r="AF154" s="25" t="str">
        <f aca="false">IF(AND(T154="friends &amp; family",ISNUMBER(L154)),L154,"")</f>
        <v/>
      </c>
      <c r="AG154" s="9"/>
    </row>
    <row r="155" customFormat="false" ht="1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25" t="str">
        <f aca="false">IF(AND(T155="stranger",ISNUMBER(L155)),L155,"")</f>
        <v/>
      </c>
      <c r="V155" s="25" t="str">
        <f aca="false">IF(AND(T155="stranger",H155="voice",ISNUMBER(L155)),L155,"")</f>
        <v/>
      </c>
      <c r="W155" s="25" t="str">
        <f aca="false">IF(AND(T155="stranger",H155="text",ISNUMBER(L155)),L155,"")</f>
        <v/>
      </c>
      <c r="X155" s="25" t="str">
        <f aca="false">IF(AND(T155="stranger",ISNUMBER(M155)),M155,"")</f>
        <v/>
      </c>
      <c r="Y155" s="25" t="str">
        <f aca="false">IF(AND(T155="stranger",H155="voice",ISNUMBER(M155)),M155,"")</f>
        <v/>
      </c>
      <c r="Z155" s="25" t="str">
        <f aca="false">IF(AND(T155="stranger",H155="text",ISNUMBER(M155)),M155,"")</f>
        <v/>
      </c>
      <c r="AA155" s="25" t="str">
        <f aca="false">IF(AND(T155="stranger",ISNUMBER(J155)),J155,"")</f>
        <v/>
      </c>
      <c r="AB155" s="25" t="str">
        <f aca="false">IF(AND(T155="stranger",H155="voice",ISNUMBER(J155)),J155,"")</f>
        <v/>
      </c>
      <c r="AC155" s="25" t="str">
        <f aca="false">IF(AND(T155="stranger",H155="text",ISNUMBER(J155)),J155,"")</f>
        <v/>
      </c>
      <c r="AD155" s="25" t="str">
        <f aca="false">IF(AND(T155="stranger",ISNUMBER(O155)),O155,"")</f>
        <v/>
      </c>
      <c r="AE155" s="25" t="str">
        <f aca="false">IF(AND(T155="stranger",ISNUMBER(P155)),P155,"")</f>
        <v/>
      </c>
      <c r="AF155" s="25" t="str">
        <f aca="false">IF(AND(T155="friends &amp; family",ISNUMBER(L155)),L155,"")</f>
        <v/>
      </c>
      <c r="AG155" s="9"/>
    </row>
    <row r="156" customFormat="false" ht="1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25" t="str">
        <f aca="false">IF(AND(T156="stranger",ISNUMBER(L156)),L156,"")</f>
        <v/>
      </c>
      <c r="V156" s="25" t="str">
        <f aca="false">IF(AND(T156="stranger",H156="voice",ISNUMBER(L156)),L156,"")</f>
        <v/>
      </c>
      <c r="W156" s="25" t="str">
        <f aca="false">IF(AND(T156="stranger",H156="text",ISNUMBER(L156)),L156,"")</f>
        <v/>
      </c>
      <c r="X156" s="25" t="str">
        <f aca="false">IF(AND(T156="stranger",ISNUMBER(M156)),M156,"")</f>
        <v/>
      </c>
      <c r="Y156" s="25" t="str">
        <f aca="false">IF(AND(T156="stranger",H156="voice",ISNUMBER(M156)),M156,"")</f>
        <v/>
      </c>
      <c r="Z156" s="25" t="str">
        <f aca="false">IF(AND(T156="stranger",H156="text",ISNUMBER(M156)),M156,"")</f>
        <v/>
      </c>
      <c r="AA156" s="25" t="str">
        <f aca="false">IF(AND(T156="stranger",ISNUMBER(J156)),J156,"")</f>
        <v/>
      </c>
      <c r="AB156" s="25" t="str">
        <f aca="false">IF(AND(T156="stranger",H156="voice",ISNUMBER(J156)),J156,"")</f>
        <v/>
      </c>
      <c r="AC156" s="25" t="str">
        <f aca="false">IF(AND(T156="stranger",H156="text",ISNUMBER(J156)),J156,"")</f>
        <v/>
      </c>
      <c r="AD156" s="25" t="str">
        <f aca="false">IF(AND(T156="stranger",ISNUMBER(O156)),O156,"")</f>
        <v/>
      </c>
      <c r="AE156" s="25" t="str">
        <f aca="false">IF(AND(T156="stranger",ISNUMBER(P156)),P156,"")</f>
        <v/>
      </c>
      <c r="AF156" s="25" t="str">
        <f aca="false">IF(AND(T156="friends &amp; family",ISNUMBER(L156)),L156,"")</f>
        <v/>
      </c>
      <c r="AG156" s="9"/>
    </row>
    <row r="157" customFormat="false" ht="1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25" t="str">
        <f aca="false">IF(AND(T157="stranger",ISNUMBER(L157)),L157,"")</f>
        <v/>
      </c>
      <c r="V157" s="25" t="str">
        <f aca="false">IF(AND(T157="stranger",H157="voice",ISNUMBER(L157)),L157,"")</f>
        <v/>
      </c>
      <c r="W157" s="25" t="str">
        <f aca="false">IF(AND(T157="stranger",H157="text",ISNUMBER(L157)),L157,"")</f>
        <v/>
      </c>
      <c r="X157" s="25" t="str">
        <f aca="false">IF(AND(T157="stranger",ISNUMBER(M157)),M157,"")</f>
        <v/>
      </c>
      <c r="Y157" s="25" t="str">
        <f aca="false">IF(AND(T157="stranger",H157="voice",ISNUMBER(M157)),M157,"")</f>
        <v/>
      </c>
      <c r="Z157" s="25" t="str">
        <f aca="false">IF(AND(T157="stranger",H157="text",ISNUMBER(M157)),M157,"")</f>
        <v/>
      </c>
      <c r="AA157" s="25" t="str">
        <f aca="false">IF(AND(T157="stranger",ISNUMBER(J157)),J157,"")</f>
        <v/>
      </c>
      <c r="AB157" s="25" t="str">
        <f aca="false">IF(AND(T157="stranger",H157="voice",ISNUMBER(J157)),J157,"")</f>
        <v/>
      </c>
      <c r="AC157" s="25" t="str">
        <f aca="false">IF(AND(T157="stranger",H157="text",ISNUMBER(J157)),J157,"")</f>
        <v/>
      </c>
      <c r="AD157" s="25" t="str">
        <f aca="false">IF(AND(T157="stranger",ISNUMBER(O157)),O157,"")</f>
        <v/>
      </c>
      <c r="AE157" s="25" t="str">
        <f aca="false">IF(AND(T157="stranger",ISNUMBER(P157)),P157,"")</f>
        <v/>
      </c>
      <c r="AF157" s="25" t="str">
        <f aca="false">IF(AND(T157="friends &amp; family",ISNUMBER(L157)),L157,"")</f>
        <v/>
      </c>
      <c r="AG157" s="9"/>
    </row>
    <row r="158" customFormat="false" ht="1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25" t="str">
        <f aca="false">IF(AND(T158="stranger",ISNUMBER(L158)),L158,"")</f>
        <v/>
      </c>
      <c r="V158" s="25" t="str">
        <f aca="false">IF(AND(T158="stranger",H158="voice",ISNUMBER(L158)),L158,"")</f>
        <v/>
      </c>
      <c r="W158" s="25" t="str">
        <f aca="false">IF(AND(T158="stranger",H158="text",ISNUMBER(L158)),L158,"")</f>
        <v/>
      </c>
      <c r="X158" s="25" t="str">
        <f aca="false">IF(AND(T158="stranger",ISNUMBER(M158)),M158,"")</f>
        <v/>
      </c>
      <c r="Y158" s="25" t="str">
        <f aca="false">IF(AND(T158="stranger",H158="voice",ISNUMBER(M158)),M158,"")</f>
        <v/>
      </c>
      <c r="Z158" s="25" t="str">
        <f aca="false">IF(AND(T158="stranger",H158="text",ISNUMBER(M158)),M158,"")</f>
        <v/>
      </c>
      <c r="AA158" s="25" t="str">
        <f aca="false">IF(AND(T158="stranger",ISNUMBER(J158)),J158,"")</f>
        <v/>
      </c>
      <c r="AB158" s="25" t="str">
        <f aca="false">IF(AND(T158="stranger",H158="voice",ISNUMBER(J158)),J158,"")</f>
        <v/>
      </c>
      <c r="AC158" s="25" t="str">
        <f aca="false">IF(AND(T158="stranger",H158="text",ISNUMBER(J158)),J158,"")</f>
        <v/>
      </c>
      <c r="AD158" s="25" t="str">
        <f aca="false">IF(AND(T158="stranger",ISNUMBER(O158)),O158,"")</f>
        <v/>
      </c>
      <c r="AE158" s="25" t="str">
        <f aca="false">IF(AND(T158="stranger",ISNUMBER(P158)),P158,"")</f>
        <v/>
      </c>
      <c r="AF158" s="25" t="str">
        <f aca="false">IF(AND(T158="friends &amp; family",ISNUMBER(L158)),L158,"")</f>
        <v/>
      </c>
      <c r="AG158" s="9"/>
    </row>
    <row r="159" customFormat="false" ht="1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25" t="str">
        <f aca="false">IF(AND(T159="stranger",ISNUMBER(L159)),L159,"")</f>
        <v/>
      </c>
      <c r="V159" s="25" t="str">
        <f aca="false">IF(AND(T159="stranger",H159="voice",ISNUMBER(L159)),L159,"")</f>
        <v/>
      </c>
      <c r="W159" s="25" t="str">
        <f aca="false">IF(AND(T159="stranger",H159="text",ISNUMBER(L159)),L159,"")</f>
        <v/>
      </c>
      <c r="X159" s="25" t="str">
        <f aca="false">IF(AND(T159="stranger",ISNUMBER(M159)),M159,"")</f>
        <v/>
      </c>
      <c r="Y159" s="25" t="str">
        <f aca="false">IF(AND(T159="stranger",H159="voice",ISNUMBER(M159)),M159,"")</f>
        <v/>
      </c>
      <c r="Z159" s="25" t="str">
        <f aca="false">IF(AND(T159="stranger",H159="text",ISNUMBER(M159)),M159,"")</f>
        <v/>
      </c>
      <c r="AA159" s="25" t="str">
        <f aca="false">IF(AND(T159="stranger",ISNUMBER(J159)),J159,"")</f>
        <v/>
      </c>
      <c r="AB159" s="25" t="str">
        <f aca="false">IF(AND(T159="stranger",H159="voice",ISNUMBER(J159)),J159,"")</f>
        <v/>
      </c>
      <c r="AC159" s="25" t="str">
        <f aca="false">IF(AND(T159="stranger",H159="text",ISNUMBER(J159)),J159,"")</f>
        <v/>
      </c>
      <c r="AD159" s="25" t="str">
        <f aca="false">IF(AND(T159="stranger",ISNUMBER(O159)),O159,"")</f>
        <v/>
      </c>
      <c r="AE159" s="25" t="str">
        <f aca="false">IF(AND(T159="stranger",ISNUMBER(P159)),P159,"")</f>
        <v/>
      </c>
      <c r="AF159" s="25" t="str">
        <f aca="false">IF(AND(T159="friends &amp; family",ISNUMBER(L159)),L159,"")</f>
        <v/>
      </c>
      <c r="AG159" s="9"/>
    </row>
    <row r="160" customFormat="false" ht="1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25" t="str">
        <f aca="false">IF(AND(T160="stranger",ISNUMBER(L160)),L160,"")</f>
        <v/>
      </c>
      <c r="V160" s="25" t="str">
        <f aca="false">IF(AND(T160="stranger",H160="voice",ISNUMBER(L160)),L160,"")</f>
        <v/>
      </c>
      <c r="W160" s="25" t="str">
        <f aca="false">IF(AND(T160="stranger",H160="text",ISNUMBER(L160)),L160,"")</f>
        <v/>
      </c>
      <c r="X160" s="25" t="str">
        <f aca="false">IF(AND(T160="stranger",ISNUMBER(M160)),M160,"")</f>
        <v/>
      </c>
      <c r="Y160" s="25" t="str">
        <f aca="false">IF(AND(T160="stranger",H160="voice",ISNUMBER(M160)),M160,"")</f>
        <v/>
      </c>
      <c r="Z160" s="25" t="str">
        <f aca="false">IF(AND(T160="stranger",H160="text",ISNUMBER(M160)),M160,"")</f>
        <v/>
      </c>
      <c r="AA160" s="25" t="str">
        <f aca="false">IF(AND(T160="stranger",ISNUMBER(J160)),J160,"")</f>
        <v/>
      </c>
      <c r="AB160" s="25" t="str">
        <f aca="false">IF(AND(T160="stranger",H160="voice",ISNUMBER(J160)),J160,"")</f>
        <v/>
      </c>
      <c r="AC160" s="25" t="str">
        <f aca="false">IF(AND(T160="stranger",H160="text",ISNUMBER(J160)),J160,"")</f>
        <v/>
      </c>
      <c r="AD160" s="25" t="str">
        <f aca="false">IF(AND(T160="stranger",ISNUMBER(O160)),O160,"")</f>
        <v/>
      </c>
      <c r="AE160" s="25" t="str">
        <f aca="false">IF(AND(T160="stranger",ISNUMBER(P160)),P160,"")</f>
        <v/>
      </c>
      <c r="AF160" s="25" t="str">
        <f aca="false">IF(AND(T160="friends &amp; family",ISNUMBER(L160)),L160,"")</f>
        <v/>
      </c>
      <c r="AG160" s="9"/>
    </row>
    <row r="161" customFormat="false" ht="1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25" t="str">
        <f aca="false">IF(AND(T161="stranger",ISNUMBER(L161)),L161,"")</f>
        <v/>
      </c>
      <c r="V161" s="25" t="str">
        <f aca="false">IF(AND(T161="stranger",H161="voice",ISNUMBER(L161)),L161,"")</f>
        <v/>
      </c>
      <c r="W161" s="25" t="str">
        <f aca="false">IF(AND(T161="stranger",H161="text",ISNUMBER(L161)),L161,"")</f>
        <v/>
      </c>
      <c r="X161" s="25" t="str">
        <f aca="false">IF(AND(T161="stranger",ISNUMBER(M161)),M161,"")</f>
        <v/>
      </c>
      <c r="Y161" s="25" t="str">
        <f aca="false">IF(AND(T161="stranger",H161="voice",ISNUMBER(M161)),M161,"")</f>
        <v/>
      </c>
      <c r="Z161" s="25" t="str">
        <f aca="false">IF(AND(T161="stranger",H161="text",ISNUMBER(M161)),M161,"")</f>
        <v/>
      </c>
      <c r="AA161" s="25" t="str">
        <f aca="false">IF(AND(T161="stranger",ISNUMBER(J161)),J161,"")</f>
        <v/>
      </c>
      <c r="AB161" s="25" t="str">
        <f aca="false">IF(AND(T161="stranger",H161="voice",ISNUMBER(J161)),J161,"")</f>
        <v/>
      </c>
      <c r="AC161" s="25" t="str">
        <f aca="false">IF(AND(T161="stranger",H161="text",ISNUMBER(J161)),J161,"")</f>
        <v/>
      </c>
      <c r="AD161" s="25" t="str">
        <f aca="false">IF(AND(T161="stranger",ISNUMBER(O161)),O161,"")</f>
        <v/>
      </c>
      <c r="AE161" s="25" t="str">
        <f aca="false">IF(AND(T161="stranger",ISNUMBER(P161)),P161,"")</f>
        <v/>
      </c>
      <c r="AF161" s="25" t="str">
        <f aca="false">IF(AND(T161="friends &amp; family",ISNUMBER(L161)),L161,"")</f>
        <v/>
      </c>
      <c r="AG161" s="9"/>
    </row>
    <row r="162" customFormat="false" ht="1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25" t="str">
        <f aca="false">IF(AND(T162="stranger",ISNUMBER(L162)),L162,"")</f>
        <v/>
      </c>
      <c r="V162" s="25" t="str">
        <f aca="false">IF(AND(T162="stranger",H162="voice",ISNUMBER(L162)),L162,"")</f>
        <v/>
      </c>
      <c r="W162" s="25" t="str">
        <f aca="false">IF(AND(T162="stranger",H162="text",ISNUMBER(L162)),L162,"")</f>
        <v/>
      </c>
      <c r="X162" s="25" t="str">
        <f aca="false">IF(AND(T162="stranger",ISNUMBER(M162)),M162,"")</f>
        <v/>
      </c>
      <c r="Y162" s="25" t="str">
        <f aca="false">IF(AND(T162="stranger",H162="voice",ISNUMBER(M162)),M162,"")</f>
        <v/>
      </c>
      <c r="Z162" s="25" t="str">
        <f aca="false">IF(AND(T162="stranger",H162="text",ISNUMBER(M162)),M162,"")</f>
        <v/>
      </c>
      <c r="AA162" s="25" t="str">
        <f aca="false">IF(AND(T162="stranger",ISNUMBER(J162)),J162,"")</f>
        <v/>
      </c>
      <c r="AB162" s="25" t="str">
        <f aca="false">IF(AND(T162="stranger",H162="voice",ISNUMBER(J162)),J162,"")</f>
        <v/>
      </c>
      <c r="AC162" s="25" t="str">
        <f aca="false">IF(AND(T162="stranger",H162="text",ISNUMBER(J162)),J162,"")</f>
        <v/>
      </c>
      <c r="AD162" s="25" t="str">
        <f aca="false">IF(AND(T162="stranger",ISNUMBER(O162)),O162,"")</f>
        <v/>
      </c>
      <c r="AE162" s="25" t="str">
        <f aca="false">IF(AND(T162="stranger",ISNUMBER(P162)),P162,"")</f>
        <v/>
      </c>
      <c r="AF162" s="25" t="str">
        <f aca="false">IF(AND(T162="friends &amp; family",ISNUMBER(L162)),L162,"")</f>
        <v/>
      </c>
      <c r="AG162" s="9"/>
    </row>
    <row r="163" customFormat="false" ht="1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25" t="str">
        <f aca="false">IF(AND(T163="stranger",ISNUMBER(L163)),L163,"")</f>
        <v/>
      </c>
      <c r="V163" s="25" t="str">
        <f aca="false">IF(AND(T163="stranger",H163="voice",ISNUMBER(L163)),L163,"")</f>
        <v/>
      </c>
      <c r="W163" s="25" t="str">
        <f aca="false">IF(AND(T163="stranger",H163="text",ISNUMBER(L163)),L163,"")</f>
        <v/>
      </c>
      <c r="X163" s="25" t="str">
        <f aca="false">IF(AND(T163="stranger",ISNUMBER(M163)),M163,"")</f>
        <v/>
      </c>
      <c r="Y163" s="25" t="str">
        <f aca="false">IF(AND(T163="stranger",H163="voice",ISNUMBER(M163)),M163,"")</f>
        <v/>
      </c>
      <c r="Z163" s="25" t="str">
        <f aca="false">IF(AND(T163="stranger",H163="text",ISNUMBER(M163)),M163,"")</f>
        <v/>
      </c>
      <c r="AA163" s="25" t="str">
        <f aca="false">IF(AND(T163="stranger",ISNUMBER(J163)),J163,"")</f>
        <v/>
      </c>
      <c r="AB163" s="25" t="str">
        <f aca="false">IF(AND(T163="stranger",H163="voice",ISNUMBER(J163)),J163,"")</f>
        <v/>
      </c>
      <c r="AC163" s="25" t="str">
        <f aca="false">IF(AND(T163="stranger",H163="text",ISNUMBER(J163)),J163,"")</f>
        <v/>
      </c>
      <c r="AD163" s="25" t="str">
        <f aca="false">IF(AND(T163="stranger",ISNUMBER(O163)),O163,"")</f>
        <v/>
      </c>
      <c r="AE163" s="25" t="str">
        <f aca="false">IF(AND(T163="stranger",ISNUMBER(P163)),P163,"")</f>
        <v/>
      </c>
      <c r="AF163" s="25" t="str">
        <f aca="false">IF(AND(T163="friends &amp; family",ISNUMBER(L163)),L163,"")</f>
        <v/>
      </c>
      <c r="AG163" s="9"/>
    </row>
    <row r="164" customFormat="false" ht="1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25" t="str">
        <f aca="false">IF(AND(T164="stranger",ISNUMBER(L164)),L164,"")</f>
        <v/>
      </c>
      <c r="V164" s="25" t="str">
        <f aca="false">IF(AND(T164="stranger",H164="voice",ISNUMBER(L164)),L164,"")</f>
        <v/>
      </c>
      <c r="W164" s="25" t="str">
        <f aca="false">IF(AND(T164="stranger",H164="text",ISNUMBER(L164)),L164,"")</f>
        <v/>
      </c>
      <c r="X164" s="25" t="str">
        <f aca="false">IF(AND(T164="stranger",ISNUMBER(M164)),M164,"")</f>
        <v/>
      </c>
      <c r="Y164" s="25" t="str">
        <f aca="false">IF(AND(T164="stranger",H164="voice",ISNUMBER(M164)),M164,"")</f>
        <v/>
      </c>
      <c r="Z164" s="25" t="str">
        <f aca="false">IF(AND(T164="stranger",H164="text",ISNUMBER(M164)),M164,"")</f>
        <v/>
      </c>
      <c r="AA164" s="25" t="str">
        <f aca="false">IF(AND(T164="stranger",ISNUMBER(J164)),J164,"")</f>
        <v/>
      </c>
      <c r="AB164" s="25" t="str">
        <f aca="false">IF(AND(T164="stranger",H164="voice",ISNUMBER(J164)),J164,"")</f>
        <v/>
      </c>
      <c r="AC164" s="25" t="str">
        <f aca="false">IF(AND(T164="stranger",H164="text",ISNUMBER(J164)),J164,"")</f>
        <v/>
      </c>
      <c r="AD164" s="25" t="str">
        <f aca="false">IF(AND(T164="stranger",ISNUMBER(O164)),O164,"")</f>
        <v/>
      </c>
      <c r="AE164" s="25" t="str">
        <f aca="false">IF(AND(T164="stranger",ISNUMBER(P164)),P164,"")</f>
        <v/>
      </c>
      <c r="AF164" s="25" t="str">
        <f aca="false">IF(AND(T164="friends &amp; family",ISNUMBER(L164)),L164,"")</f>
        <v/>
      </c>
      <c r="AG164" s="9"/>
    </row>
    <row r="165" customFormat="false" ht="1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25" t="str">
        <f aca="false">IF(AND(T165="stranger",ISNUMBER(L165)),L165,"")</f>
        <v/>
      </c>
      <c r="V165" s="25" t="str">
        <f aca="false">IF(AND(T165="stranger",H165="voice",ISNUMBER(L165)),L165,"")</f>
        <v/>
      </c>
      <c r="W165" s="25" t="str">
        <f aca="false">IF(AND(T165="stranger",H165="text",ISNUMBER(L165)),L165,"")</f>
        <v/>
      </c>
      <c r="X165" s="25" t="str">
        <f aca="false">IF(AND(T165="stranger",ISNUMBER(M165)),M165,"")</f>
        <v/>
      </c>
      <c r="Y165" s="25" t="str">
        <f aca="false">IF(AND(T165="stranger",H165="voice",ISNUMBER(M165)),M165,"")</f>
        <v/>
      </c>
      <c r="Z165" s="25" t="str">
        <f aca="false">IF(AND(T165="stranger",H165="text",ISNUMBER(M165)),M165,"")</f>
        <v/>
      </c>
      <c r="AA165" s="25" t="str">
        <f aca="false">IF(AND(T165="stranger",ISNUMBER(J165)),J165,"")</f>
        <v/>
      </c>
      <c r="AB165" s="25" t="str">
        <f aca="false">IF(AND(T165="stranger",H165="voice",ISNUMBER(J165)),J165,"")</f>
        <v/>
      </c>
      <c r="AC165" s="25" t="str">
        <f aca="false">IF(AND(T165="stranger",H165="text",ISNUMBER(J165)),J165,"")</f>
        <v/>
      </c>
      <c r="AD165" s="25" t="str">
        <f aca="false">IF(AND(T165="stranger",ISNUMBER(O165)),O165,"")</f>
        <v/>
      </c>
      <c r="AE165" s="25" t="str">
        <f aca="false">IF(AND(T165="stranger",ISNUMBER(P165)),P165,"")</f>
        <v/>
      </c>
      <c r="AF165" s="25" t="str">
        <f aca="false">IF(AND(T165="friends &amp; family",ISNUMBER(L165)),L165,"")</f>
        <v/>
      </c>
      <c r="AG165" s="9"/>
    </row>
    <row r="166" customFormat="false" ht="1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25" t="str">
        <f aca="false">IF(AND(T166="stranger",ISNUMBER(L166)),L166,"")</f>
        <v/>
      </c>
      <c r="V166" s="25" t="str">
        <f aca="false">IF(AND(T166="stranger",H166="voice",ISNUMBER(L166)),L166,"")</f>
        <v/>
      </c>
      <c r="W166" s="25" t="str">
        <f aca="false">IF(AND(T166="stranger",H166="text",ISNUMBER(L166)),L166,"")</f>
        <v/>
      </c>
      <c r="X166" s="25" t="str">
        <f aca="false">IF(AND(T166="stranger",ISNUMBER(M166)),M166,"")</f>
        <v/>
      </c>
      <c r="Y166" s="25" t="str">
        <f aca="false">IF(AND(T166="stranger",H166="voice",ISNUMBER(M166)),M166,"")</f>
        <v/>
      </c>
      <c r="Z166" s="25" t="str">
        <f aca="false">IF(AND(T166="stranger",H166="text",ISNUMBER(M166)),M166,"")</f>
        <v/>
      </c>
      <c r="AA166" s="25" t="str">
        <f aca="false">IF(AND(T166="stranger",ISNUMBER(J166)),J166,"")</f>
        <v/>
      </c>
      <c r="AB166" s="25" t="str">
        <f aca="false">IF(AND(T166="stranger",H166="voice",ISNUMBER(J166)),J166,"")</f>
        <v/>
      </c>
      <c r="AC166" s="25" t="str">
        <f aca="false">IF(AND(T166="stranger",H166="text",ISNUMBER(J166)),J166,"")</f>
        <v/>
      </c>
      <c r="AD166" s="25" t="str">
        <f aca="false">IF(AND(T166="stranger",ISNUMBER(O166)),O166,"")</f>
        <v/>
      </c>
      <c r="AE166" s="25" t="str">
        <f aca="false">IF(AND(T166="stranger",ISNUMBER(P166)),P166,"")</f>
        <v/>
      </c>
      <c r="AF166" s="25" t="str">
        <f aca="false">IF(AND(T166="friends &amp; family",ISNUMBER(L166)),L166,"")</f>
        <v/>
      </c>
      <c r="AG166" s="9"/>
    </row>
    <row r="167" customFormat="false" ht="1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25" t="str">
        <f aca="false">IF(AND(T167="stranger",ISNUMBER(L167)),L167,"")</f>
        <v/>
      </c>
      <c r="V167" s="25" t="str">
        <f aca="false">IF(AND(T167="stranger",H167="voice",ISNUMBER(L167)),L167,"")</f>
        <v/>
      </c>
      <c r="W167" s="25" t="str">
        <f aca="false">IF(AND(T167="stranger",H167="text",ISNUMBER(L167)),L167,"")</f>
        <v/>
      </c>
      <c r="X167" s="25" t="str">
        <f aca="false">IF(AND(T167="stranger",ISNUMBER(M167)),M167,"")</f>
        <v/>
      </c>
      <c r="Y167" s="25" t="str">
        <f aca="false">IF(AND(T167="stranger",H167="voice",ISNUMBER(M167)),M167,"")</f>
        <v/>
      </c>
      <c r="Z167" s="25" t="str">
        <f aca="false">IF(AND(T167="stranger",H167="text",ISNUMBER(M167)),M167,"")</f>
        <v/>
      </c>
      <c r="AA167" s="25" t="str">
        <f aca="false">IF(AND(T167="stranger",ISNUMBER(J167)),J167,"")</f>
        <v/>
      </c>
      <c r="AB167" s="25" t="str">
        <f aca="false">IF(AND(T167="stranger",H167="voice",ISNUMBER(J167)),J167,"")</f>
        <v/>
      </c>
      <c r="AC167" s="25" t="str">
        <f aca="false">IF(AND(T167="stranger",H167="text",ISNUMBER(J167)),J167,"")</f>
        <v/>
      </c>
      <c r="AD167" s="25" t="str">
        <f aca="false">IF(AND(T167="stranger",ISNUMBER(O167)),O167,"")</f>
        <v/>
      </c>
      <c r="AE167" s="25" t="str">
        <f aca="false">IF(AND(T167="stranger",ISNUMBER(P167)),P167,"")</f>
        <v/>
      </c>
      <c r="AF167" s="25" t="str">
        <f aca="false">IF(AND(T167="friends &amp; family",ISNUMBER(L167)),L167,"")</f>
        <v/>
      </c>
      <c r="AG167" s="9"/>
    </row>
    <row r="168" customFormat="false" ht="1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25" t="str">
        <f aca="false">IF(AND(T168="stranger",ISNUMBER(L168)),L168,"")</f>
        <v/>
      </c>
      <c r="V168" s="25" t="str">
        <f aca="false">IF(AND(T168="stranger",H168="voice",ISNUMBER(L168)),L168,"")</f>
        <v/>
      </c>
      <c r="W168" s="25" t="str">
        <f aca="false">IF(AND(T168="stranger",H168="text",ISNUMBER(L168)),L168,"")</f>
        <v/>
      </c>
      <c r="X168" s="25" t="str">
        <f aca="false">IF(AND(T168="stranger",ISNUMBER(M168)),M168,"")</f>
        <v/>
      </c>
      <c r="Y168" s="25" t="str">
        <f aca="false">IF(AND(T168="stranger",H168="voice",ISNUMBER(M168)),M168,"")</f>
        <v/>
      </c>
      <c r="Z168" s="25" t="str">
        <f aca="false">IF(AND(T168="stranger",H168="text",ISNUMBER(M168)),M168,"")</f>
        <v/>
      </c>
      <c r="AA168" s="25" t="str">
        <f aca="false">IF(AND(T168="stranger",ISNUMBER(J168)),J168,"")</f>
        <v/>
      </c>
      <c r="AB168" s="25" t="str">
        <f aca="false">IF(AND(T168="stranger",H168="voice",ISNUMBER(J168)),J168,"")</f>
        <v/>
      </c>
      <c r="AC168" s="25" t="str">
        <f aca="false">IF(AND(T168="stranger",H168="text",ISNUMBER(J168)),J168,"")</f>
        <v/>
      </c>
      <c r="AD168" s="25" t="str">
        <f aca="false">IF(AND(T168="stranger",ISNUMBER(O168)),O168,"")</f>
        <v/>
      </c>
      <c r="AE168" s="25" t="str">
        <f aca="false">IF(AND(T168="stranger",ISNUMBER(P168)),P168,"")</f>
        <v/>
      </c>
      <c r="AF168" s="25" t="str">
        <f aca="false">IF(AND(T168="friends &amp; family",ISNUMBER(L168)),L168,"")</f>
        <v/>
      </c>
      <c r="AG168" s="9"/>
    </row>
    <row r="169" customFormat="false" ht="1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25" t="str">
        <f aca="false">IF(AND(T169="stranger",ISNUMBER(L169)),L169,"")</f>
        <v/>
      </c>
      <c r="V169" s="25" t="str">
        <f aca="false">IF(AND(T169="stranger",H169="voice",ISNUMBER(L169)),L169,"")</f>
        <v/>
      </c>
      <c r="W169" s="25" t="str">
        <f aca="false">IF(AND(T169="stranger",H169="text",ISNUMBER(L169)),L169,"")</f>
        <v/>
      </c>
      <c r="X169" s="25" t="str">
        <f aca="false">IF(AND(T169="stranger",ISNUMBER(M169)),M169,"")</f>
        <v/>
      </c>
      <c r="Y169" s="25" t="str">
        <f aca="false">IF(AND(T169="stranger",H169="voice",ISNUMBER(M169)),M169,"")</f>
        <v/>
      </c>
      <c r="Z169" s="25" t="str">
        <f aca="false">IF(AND(T169="stranger",H169="text",ISNUMBER(M169)),M169,"")</f>
        <v/>
      </c>
      <c r="AA169" s="25" t="str">
        <f aca="false">IF(AND(T169="stranger",ISNUMBER(J169)),J169,"")</f>
        <v/>
      </c>
      <c r="AB169" s="25" t="str">
        <f aca="false">IF(AND(T169="stranger",H169="voice",ISNUMBER(J169)),J169,"")</f>
        <v/>
      </c>
      <c r="AC169" s="25" t="str">
        <f aca="false">IF(AND(T169="stranger",H169="text",ISNUMBER(J169)),J169,"")</f>
        <v/>
      </c>
      <c r="AD169" s="25" t="str">
        <f aca="false">IF(AND(T169="stranger",ISNUMBER(O169)),O169,"")</f>
        <v/>
      </c>
      <c r="AE169" s="25" t="str">
        <f aca="false">IF(AND(T169="stranger",ISNUMBER(P169)),P169,"")</f>
        <v/>
      </c>
      <c r="AF169" s="25" t="str">
        <f aca="false">IF(AND(T169="friends &amp; family",ISNUMBER(L169)),L169,"")</f>
        <v/>
      </c>
      <c r="AG169" s="9"/>
    </row>
    <row r="170" customFormat="false" ht="1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25" t="str">
        <f aca="false">IF(AND(T170="stranger",ISNUMBER(L170)),L170,"")</f>
        <v/>
      </c>
      <c r="V170" s="25" t="str">
        <f aca="false">IF(AND(T170="stranger",H170="voice",ISNUMBER(L170)),L170,"")</f>
        <v/>
      </c>
      <c r="W170" s="25" t="str">
        <f aca="false">IF(AND(T170="stranger",H170="text",ISNUMBER(L170)),L170,"")</f>
        <v/>
      </c>
      <c r="X170" s="25" t="str">
        <f aca="false">IF(AND(T170="stranger",ISNUMBER(M170)),M170,"")</f>
        <v/>
      </c>
      <c r="Y170" s="25" t="str">
        <f aca="false">IF(AND(T170="stranger",H170="voice",ISNUMBER(M170)),M170,"")</f>
        <v/>
      </c>
      <c r="Z170" s="25" t="str">
        <f aca="false">IF(AND(T170="stranger",H170="text",ISNUMBER(M170)),M170,"")</f>
        <v/>
      </c>
      <c r="AA170" s="25" t="str">
        <f aca="false">IF(AND(T170="stranger",ISNUMBER(J170)),J170,"")</f>
        <v/>
      </c>
      <c r="AB170" s="25" t="str">
        <f aca="false">IF(AND(T170="stranger",H170="voice",ISNUMBER(J170)),J170,"")</f>
        <v/>
      </c>
      <c r="AC170" s="25" t="str">
        <f aca="false">IF(AND(T170="stranger",H170="text",ISNUMBER(J170)),J170,"")</f>
        <v/>
      </c>
      <c r="AD170" s="25" t="str">
        <f aca="false">IF(AND(T170="stranger",ISNUMBER(O170)),O170,"")</f>
        <v/>
      </c>
      <c r="AE170" s="25" t="str">
        <f aca="false">IF(AND(T170="stranger",ISNUMBER(P170)),P170,"")</f>
        <v/>
      </c>
      <c r="AF170" s="25" t="str">
        <f aca="false">IF(AND(T170="friends &amp; family",ISNUMBER(L170)),L170,"")</f>
        <v/>
      </c>
      <c r="AG170" s="9"/>
    </row>
    <row r="171" customFormat="false" ht="1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25" t="str">
        <f aca="false">IF(AND(T171="stranger",ISNUMBER(L171)),L171,"")</f>
        <v/>
      </c>
      <c r="V171" s="25" t="str">
        <f aca="false">IF(AND(T171="stranger",H171="voice",ISNUMBER(L171)),L171,"")</f>
        <v/>
      </c>
      <c r="W171" s="25" t="str">
        <f aca="false">IF(AND(T171="stranger",H171="text",ISNUMBER(L171)),L171,"")</f>
        <v/>
      </c>
      <c r="X171" s="25" t="str">
        <f aca="false">IF(AND(T171="stranger",ISNUMBER(M171)),M171,"")</f>
        <v/>
      </c>
      <c r="Y171" s="25" t="str">
        <f aca="false">IF(AND(T171="stranger",H171="voice",ISNUMBER(M171)),M171,"")</f>
        <v/>
      </c>
      <c r="Z171" s="25" t="str">
        <f aca="false">IF(AND(T171="stranger",H171="text",ISNUMBER(M171)),M171,"")</f>
        <v/>
      </c>
      <c r="AA171" s="25" t="str">
        <f aca="false">IF(AND(T171="stranger",ISNUMBER(J171)),J171,"")</f>
        <v/>
      </c>
      <c r="AB171" s="25" t="str">
        <f aca="false">IF(AND(T171="stranger",H171="voice",ISNUMBER(J171)),J171,"")</f>
        <v/>
      </c>
      <c r="AC171" s="25" t="str">
        <f aca="false">IF(AND(T171="stranger",H171="text",ISNUMBER(J171)),J171,"")</f>
        <v/>
      </c>
      <c r="AD171" s="25" t="str">
        <f aca="false">IF(AND(T171="stranger",ISNUMBER(O171)),O171,"")</f>
        <v/>
      </c>
      <c r="AE171" s="25" t="str">
        <f aca="false">IF(AND(T171="stranger",ISNUMBER(P171)),P171,"")</f>
        <v/>
      </c>
      <c r="AF171" s="25" t="str">
        <f aca="false">IF(AND(T171="friends &amp; family",ISNUMBER(L171)),L171,"")</f>
        <v/>
      </c>
      <c r="AG171" s="9"/>
    </row>
    <row r="172" customFormat="false" ht="1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25" t="str">
        <f aca="false">IF(AND(T172="stranger",ISNUMBER(L172)),L172,"")</f>
        <v/>
      </c>
      <c r="V172" s="25" t="str">
        <f aca="false">IF(AND(T172="stranger",H172="voice",ISNUMBER(L172)),L172,"")</f>
        <v/>
      </c>
      <c r="W172" s="25" t="str">
        <f aca="false">IF(AND(T172="stranger",H172="text",ISNUMBER(L172)),L172,"")</f>
        <v/>
      </c>
      <c r="X172" s="25" t="str">
        <f aca="false">IF(AND(T172="stranger",ISNUMBER(M172)),M172,"")</f>
        <v/>
      </c>
      <c r="Y172" s="25" t="str">
        <f aca="false">IF(AND(T172="stranger",H172="voice",ISNUMBER(M172)),M172,"")</f>
        <v/>
      </c>
      <c r="Z172" s="25" t="str">
        <f aca="false">IF(AND(T172="stranger",H172="text",ISNUMBER(M172)),M172,"")</f>
        <v/>
      </c>
      <c r="AA172" s="25" t="str">
        <f aca="false">IF(AND(T172="stranger",ISNUMBER(J172)),J172,"")</f>
        <v/>
      </c>
      <c r="AB172" s="25" t="str">
        <f aca="false">IF(AND(T172="stranger",H172="voice",ISNUMBER(J172)),J172,"")</f>
        <v/>
      </c>
      <c r="AC172" s="25" t="str">
        <f aca="false">IF(AND(T172="stranger",H172="text",ISNUMBER(J172)),J172,"")</f>
        <v/>
      </c>
      <c r="AD172" s="25" t="str">
        <f aca="false">IF(AND(T172="stranger",ISNUMBER(O172)),O172,"")</f>
        <v/>
      </c>
      <c r="AE172" s="25" t="str">
        <f aca="false">IF(AND(T172="stranger",ISNUMBER(P172)),P172,"")</f>
        <v/>
      </c>
      <c r="AF172" s="25" t="str">
        <f aca="false">IF(AND(T172="friends &amp; family",ISNUMBER(L172)),L172,"")</f>
        <v/>
      </c>
      <c r="AG172" s="9"/>
    </row>
    <row r="173" customFormat="false" ht="1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25" t="str">
        <f aca="false">IF(AND(T173="stranger",ISNUMBER(L173)),L173,"")</f>
        <v/>
      </c>
      <c r="V173" s="25" t="str">
        <f aca="false">IF(AND(T173="stranger",H173="voice",ISNUMBER(L173)),L173,"")</f>
        <v/>
      </c>
      <c r="W173" s="25" t="str">
        <f aca="false">IF(AND(T173="stranger",H173="text",ISNUMBER(L173)),L173,"")</f>
        <v/>
      </c>
      <c r="X173" s="25" t="str">
        <f aca="false">IF(AND(T173="stranger",ISNUMBER(M173)),M173,"")</f>
        <v/>
      </c>
      <c r="Y173" s="25" t="str">
        <f aca="false">IF(AND(T173="stranger",H173="voice",ISNUMBER(M173)),M173,"")</f>
        <v/>
      </c>
      <c r="Z173" s="25" t="str">
        <f aca="false">IF(AND(T173="stranger",H173="text",ISNUMBER(M173)),M173,"")</f>
        <v/>
      </c>
      <c r="AA173" s="25" t="str">
        <f aca="false">IF(AND(T173="stranger",ISNUMBER(J173)),J173,"")</f>
        <v/>
      </c>
      <c r="AB173" s="25" t="str">
        <f aca="false">IF(AND(T173="stranger",H173="voice",ISNUMBER(J173)),J173,"")</f>
        <v/>
      </c>
      <c r="AC173" s="25" t="str">
        <f aca="false">IF(AND(T173="stranger",H173="text",ISNUMBER(J173)),J173,"")</f>
        <v/>
      </c>
      <c r="AD173" s="25" t="str">
        <f aca="false">IF(AND(T173="stranger",ISNUMBER(O173)),O173,"")</f>
        <v/>
      </c>
      <c r="AE173" s="25" t="str">
        <f aca="false">IF(AND(T173="stranger",ISNUMBER(P173)),P173,"")</f>
        <v/>
      </c>
      <c r="AF173" s="25" t="str">
        <f aca="false">IF(AND(T173="friends &amp; family",ISNUMBER(L173)),L173,"")</f>
        <v/>
      </c>
      <c r="AG173" s="9"/>
    </row>
    <row r="174" customFormat="false" ht="1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25" t="str">
        <f aca="false">IF(AND(T174="stranger",ISNUMBER(L174)),L174,"")</f>
        <v/>
      </c>
      <c r="V174" s="25" t="str">
        <f aca="false">IF(AND(T174="stranger",H174="voice",ISNUMBER(L174)),L174,"")</f>
        <v/>
      </c>
      <c r="W174" s="25" t="str">
        <f aca="false">IF(AND(T174="stranger",H174="text",ISNUMBER(L174)),L174,"")</f>
        <v/>
      </c>
      <c r="X174" s="25" t="str">
        <f aca="false">IF(AND(T174="stranger",ISNUMBER(M174)),M174,"")</f>
        <v/>
      </c>
      <c r="Y174" s="25" t="str">
        <f aca="false">IF(AND(T174="stranger",H174="voice",ISNUMBER(M174)),M174,"")</f>
        <v/>
      </c>
      <c r="Z174" s="25" t="str">
        <f aca="false">IF(AND(T174="stranger",H174="text",ISNUMBER(M174)),M174,"")</f>
        <v/>
      </c>
      <c r="AA174" s="25" t="str">
        <f aca="false">IF(AND(T174="stranger",ISNUMBER(J174)),J174,"")</f>
        <v/>
      </c>
      <c r="AB174" s="25" t="str">
        <f aca="false">IF(AND(T174="stranger",H174="voice",ISNUMBER(J174)),J174,"")</f>
        <v/>
      </c>
      <c r="AC174" s="25" t="str">
        <f aca="false">IF(AND(T174="stranger",H174="text",ISNUMBER(J174)),J174,"")</f>
        <v/>
      </c>
      <c r="AD174" s="25" t="str">
        <f aca="false">IF(AND(T174="stranger",ISNUMBER(O174)),O174,"")</f>
        <v/>
      </c>
      <c r="AE174" s="25" t="str">
        <f aca="false">IF(AND(T174="stranger",ISNUMBER(P174)),P174,"")</f>
        <v/>
      </c>
      <c r="AF174" s="25" t="str">
        <f aca="false">IF(AND(T174="friends &amp; family",ISNUMBER(L174)),L174,"")</f>
        <v/>
      </c>
      <c r="AG174" s="9"/>
    </row>
    <row r="175" customFormat="false" ht="1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25" t="str">
        <f aca="false">IF(AND(T175="stranger",ISNUMBER(L175)),L175,"")</f>
        <v/>
      </c>
      <c r="V175" s="25" t="str">
        <f aca="false">IF(AND(T175="stranger",H175="voice",ISNUMBER(L175)),L175,"")</f>
        <v/>
      </c>
      <c r="W175" s="25" t="str">
        <f aca="false">IF(AND(T175="stranger",H175="text",ISNUMBER(L175)),L175,"")</f>
        <v/>
      </c>
      <c r="X175" s="25" t="str">
        <f aca="false">IF(AND(T175="stranger",ISNUMBER(M175)),M175,"")</f>
        <v/>
      </c>
      <c r="Y175" s="25" t="str">
        <f aca="false">IF(AND(T175="stranger",H175="voice",ISNUMBER(M175)),M175,"")</f>
        <v/>
      </c>
      <c r="Z175" s="25" t="str">
        <f aca="false">IF(AND(T175="stranger",H175="text",ISNUMBER(M175)),M175,"")</f>
        <v/>
      </c>
      <c r="AA175" s="25" t="str">
        <f aca="false">IF(AND(T175="stranger",ISNUMBER(J175)),J175,"")</f>
        <v/>
      </c>
      <c r="AB175" s="25" t="str">
        <f aca="false">IF(AND(T175="stranger",H175="voice",ISNUMBER(J175)),J175,"")</f>
        <v/>
      </c>
      <c r="AC175" s="25" t="str">
        <f aca="false">IF(AND(T175="stranger",H175="text",ISNUMBER(J175)),J175,"")</f>
        <v/>
      </c>
      <c r="AD175" s="25" t="str">
        <f aca="false">IF(AND(T175="stranger",ISNUMBER(O175)),O175,"")</f>
        <v/>
      </c>
      <c r="AE175" s="25" t="str">
        <f aca="false">IF(AND(T175="stranger",ISNUMBER(P175)),P175,"")</f>
        <v/>
      </c>
      <c r="AF175" s="25" t="str">
        <f aca="false">IF(AND(T175="friends &amp; family",ISNUMBER(L175)),L175,"")</f>
        <v/>
      </c>
      <c r="AG175" s="9"/>
    </row>
    <row r="176" customFormat="false" ht="1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25" t="str">
        <f aca="false">IF(AND(T176="stranger",ISNUMBER(L176)),L176,"")</f>
        <v/>
      </c>
      <c r="V176" s="25" t="str">
        <f aca="false">IF(AND(T176="stranger",H176="voice",ISNUMBER(L176)),L176,"")</f>
        <v/>
      </c>
      <c r="W176" s="25" t="str">
        <f aca="false">IF(AND(T176="stranger",H176="text",ISNUMBER(L176)),L176,"")</f>
        <v/>
      </c>
      <c r="X176" s="25" t="str">
        <f aca="false">IF(AND(T176="stranger",ISNUMBER(M176)),M176,"")</f>
        <v/>
      </c>
      <c r="Y176" s="25" t="str">
        <f aca="false">IF(AND(T176="stranger",H176="voice",ISNUMBER(M176)),M176,"")</f>
        <v/>
      </c>
      <c r="Z176" s="25" t="str">
        <f aca="false">IF(AND(T176="stranger",H176="text",ISNUMBER(M176)),M176,"")</f>
        <v/>
      </c>
      <c r="AA176" s="25" t="str">
        <f aca="false">IF(AND(T176="stranger",ISNUMBER(J176)),J176,"")</f>
        <v/>
      </c>
      <c r="AB176" s="25" t="str">
        <f aca="false">IF(AND(T176="stranger",H176="voice",ISNUMBER(J176)),J176,"")</f>
        <v/>
      </c>
      <c r="AC176" s="25" t="str">
        <f aca="false">IF(AND(T176="stranger",H176="text",ISNUMBER(J176)),J176,"")</f>
        <v/>
      </c>
      <c r="AD176" s="25" t="str">
        <f aca="false">IF(AND(T176="stranger",ISNUMBER(O176)),O176,"")</f>
        <v/>
      </c>
      <c r="AE176" s="25" t="str">
        <f aca="false">IF(AND(T176="stranger",ISNUMBER(P176)),P176,"")</f>
        <v/>
      </c>
      <c r="AF176" s="25" t="str">
        <f aca="false">IF(AND(T176="friends &amp; family",ISNUMBER(L176)),L176,"")</f>
        <v/>
      </c>
      <c r="AG176" s="9"/>
    </row>
    <row r="177" customFormat="false" ht="1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25" t="str">
        <f aca="false">IF(AND(T177="stranger",ISNUMBER(L177)),L177,"")</f>
        <v/>
      </c>
      <c r="V177" s="25" t="str">
        <f aca="false">IF(AND(T177="stranger",H177="voice",ISNUMBER(L177)),L177,"")</f>
        <v/>
      </c>
      <c r="W177" s="25" t="str">
        <f aca="false">IF(AND(T177="stranger",H177="text",ISNUMBER(L177)),L177,"")</f>
        <v/>
      </c>
      <c r="X177" s="25" t="str">
        <f aca="false">IF(AND(T177="stranger",ISNUMBER(M177)),M177,"")</f>
        <v/>
      </c>
      <c r="Y177" s="25" t="str">
        <f aca="false">IF(AND(T177="stranger",H177="voice",ISNUMBER(M177)),M177,"")</f>
        <v/>
      </c>
      <c r="Z177" s="25" t="str">
        <f aca="false">IF(AND(T177="stranger",H177="text",ISNUMBER(M177)),M177,"")</f>
        <v/>
      </c>
      <c r="AA177" s="25" t="str">
        <f aca="false">IF(AND(T177="stranger",ISNUMBER(J177)),J177,"")</f>
        <v/>
      </c>
      <c r="AB177" s="25" t="str">
        <f aca="false">IF(AND(T177="stranger",H177="voice",ISNUMBER(J177)),J177,"")</f>
        <v/>
      </c>
      <c r="AC177" s="25" t="str">
        <f aca="false">IF(AND(T177="stranger",H177="text",ISNUMBER(J177)),J177,"")</f>
        <v/>
      </c>
      <c r="AD177" s="25" t="str">
        <f aca="false">IF(AND(T177="stranger",ISNUMBER(O177)),O177,"")</f>
        <v/>
      </c>
      <c r="AE177" s="25" t="str">
        <f aca="false">IF(AND(T177="stranger",ISNUMBER(P177)),P177,"")</f>
        <v/>
      </c>
      <c r="AF177" s="25" t="str">
        <f aca="false">IF(AND(T177="friends &amp; family",ISNUMBER(L177)),L177,"")</f>
        <v/>
      </c>
      <c r="AG177" s="9"/>
    </row>
    <row r="178" customFormat="false" ht="1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25" t="str">
        <f aca="false">IF(AND(T178="stranger",ISNUMBER(L178)),L178,"")</f>
        <v/>
      </c>
      <c r="V178" s="25" t="str">
        <f aca="false">IF(AND(T178="stranger",H178="voice",ISNUMBER(L178)),L178,"")</f>
        <v/>
      </c>
      <c r="W178" s="25" t="str">
        <f aca="false">IF(AND(T178="stranger",H178="text",ISNUMBER(L178)),L178,"")</f>
        <v/>
      </c>
      <c r="X178" s="25" t="str">
        <f aca="false">IF(AND(T178="stranger",ISNUMBER(M178)),M178,"")</f>
        <v/>
      </c>
      <c r="Y178" s="25" t="str">
        <f aca="false">IF(AND(T178="stranger",H178="voice",ISNUMBER(M178)),M178,"")</f>
        <v/>
      </c>
      <c r="Z178" s="25" t="str">
        <f aca="false">IF(AND(T178="stranger",H178="text",ISNUMBER(M178)),M178,"")</f>
        <v/>
      </c>
      <c r="AA178" s="25" t="str">
        <f aca="false">IF(AND(T178="stranger",ISNUMBER(J178)),J178,"")</f>
        <v/>
      </c>
      <c r="AB178" s="25" t="str">
        <f aca="false">IF(AND(T178="stranger",H178="voice",ISNUMBER(J178)),J178,"")</f>
        <v/>
      </c>
      <c r="AC178" s="25" t="str">
        <f aca="false">IF(AND(T178="stranger",H178="text",ISNUMBER(J178)),J178,"")</f>
        <v/>
      </c>
      <c r="AD178" s="25" t="str">
        <f aca="false">IF(AND(T178="stranger",ISNUMBER(O178)),O178,"")</f>
        <v/>
      </c>
      <c r="AE178" s="25" t="str">
        <f aca="false">IF(AND(T178="stranger",ISNUMBER(P178)),P178,"")</f>
        <v/>
      </c>
      <c r="AF178" s="25" t="str">
        <f aca="false">IF(AND(T178="friends &amp; family",ISNUMBER(L178)),L178,"")</f>
        <v/>
      </c>
      <c r="AG178" s="9"/>
    </row>
    <row r="179" customFormat="false" ht="1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25" t="str">
        <f aca="false">IF(AND(T179="stranger",ISNUMBER(L179)),L179,"")</f>
        <v/>
      </c>
      <c r="V179" s="25" t="str">
        <f aca="false">IF(AND(T179="stranger",H179="voice",ISNUMBER(L179)),L179,"")</f>
        <v/>
      </c>
      <c r="W179" s="25" t="str">
        <f aca="false">IF(AND(T179="stranger",H179="text",ISNUMBER(L179)),L179,"")</f>
        <v/>
      </c>
      <c r="X179" s="25" t="str">
        <f aca="false">IF(AND(T179="stranger",ISNUMBER(M179)),M179,"")</f>
        <v/>
      </c>
      <c r="Y179" s="25" t="str">
        <f aca="false">IF(AND(T179="stranger",H179="voice",ISNUMBER(M179)),M179,"")</f>
        <v/>
      </c>
      <c r="Z179" s="25" t="str">
        <f aca="false">IF(AND(T179="stranger",H179="text",ISNUMBER(M179)),M179,"")</f>
        <v/>
      </c>
      <c r="AA179" s="25" t="str">
        <f aca="false">IF(AND(T179="stranger",ISNUMBER(J179)),J179,"")</f>
        <v/>
      </c>
      <c r="AB179" s="25" t="str">
        <f aca="false">IF(AND(T179="stranger",H179="voice",ISNUMBER(J179)),J179,"")</f>
        <v/>
      </c>
      <c r="AC179" s="25" t="str">
        <f aca="false">IF(AND(T179="stranger",H179="text",ISNUMBER(J179)),J179,"")</f>
        <v/>
      </c>
      <c r="AD179" s="25" t="str">
        <f aca="false">IF(AND(T179="stranger",ISNUMBER(O179)),O179,"")</f>
        <v/>
      </c>
      <c r="AE179" s="25" t="str">
        <f aca="false">IF(AND(T179="stranger",ISNUMBER(P179)),P179,"")</f>
        <v/>
      </c>
      <c r="AF179" s="25" t="str">
        <f aca="false">IF(AND(T179="friends &amp; family",ISNUMBER(L179)),L179,"")</f>
        <v/>
      </c>
      <c r="AG179" s="9"/>
    </row>
    <row r="180" customFormat="false" ht="1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25" t="str">
        <f aca="false">IF(AND(T180="stranger",ISNUMBER(L180)),L180,"")</f>
        <v/>
      </c>
      <c r="V180" s="25" t="str">
        <f aca="false">IF(AND(T180="stranger",H180="voice",ISNUMBER(L180)),L180,"")</f>
        <v/>
      </c>
      <c r="W180" s="25" t="str">
        <f aca="false">IF(AND(T180="stranger",H180="text",ISNUMBER(L180)),L180,"")</f>
        <v/>
      </c>
      <c r="X180" s="25" t="str">
        <f aca="false">IF(AND(T180="stranger",ISNUMBER(M180)),M180,"")</f>
        <v/>
      </c>
      <c r="Y180" s="25" t="str">
        <f aca="false">IF(AND(T180="stranger",H180="voice",ISNUMBER(M180)),M180,"")</f>
        <v/>
      </c>
      <c r="Z180" s="25" t="str">
        <f aca="false">IF(AND(T180="stranger",H180="text",ISNUMBER(M180)),M180,"")</f>
        <v/>
      </c>
      <c r="AA180" s="25" t="str">
        <f aca="false">IF(AND(T180="stranger",ISNUMBER(J180)),J180,"")</f>
        <v/>
      </c>
      <c r="AB180" s="25" t="str">
        <f aca="false">IF(AND(T180="stranger",H180="voice",ISNUMBER(J180)),J180,"")</f>
        <v/>
      </c>
      <c r="AC180" s="25" t="str">
        <f aca="false">IF(AND(T180="stranger",H180="text",ISNUMBER(J180)),J180,"")</f>
        <v/>
      </c>
      <c r="AD180" s="25" t="str">
        <f aca="false">IF(AND(T180="stranger",ISNUMBER(O180)),O180,"")</f>
        <v/>
      </c>
      <c r="AE180" s="25" t="str">
        <f aca="false">IF(AND(T180="stranger",ISNUMBER(P180)),P180,"")</f>
        <v/>
      </c>
      <c r="AF180" s="25" t="str">
        <f aca="false">IF(AND(T180="friends &amp; family",ISNUMBER(L180)),L180,"")</f>
        <v/>
      </c>
      <c r="AG180" s="9"/>
    </row>
    <row r="181" customFormat="false" ht="1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25" t="str">
        <f aca="false">IF(AND(T181="stranger",ISNUMBER(L181)),L181,"")</f>
        <v/>
      </c>
      <c r="V181" s="25" t="str">
        <f aca="false">IF(AND(T181="stranger",H181="voice",ISNUMBER(L181)),L181,"")</f>
        <v/>
      </c>
      <c r="W181" s="25" t="str">
        <f aca="false">IF(AND(T181="stranger",H181="text",ISNUMBER(L181)),L181,"")</f>
        <v/>
      </c>
      <c r="X181" s="25" t="str">
        <f aca="false">IF(AND(T181="stranger",ISNUMBER(M181)),M181,"")</f>
        <v/>
      </c>
      <c r="Y181" s="25" t="str">
        <f aca="false">IF(AND(T181="stranger",H181="voice",ISNUMBER(M181)),M181,"")</f>
        <v/>
      </c>
      <c r="Z181" s="25" t="str">
        <f aca="false">IF(AND(T181="stranger",H181="text",ISNUMBER(M181)),M181,"")</f>
        <v/>
      </c>
      <c r="AA181" s="25" t="str">
        <f aca="false">IF(AND(T181="stranger",ISNUMBER(J181)),J181,"")</f>
        <v/>
      </c>
      <c r="AB181" s="25" t="str">
        <f aca="false">IF(AND(T181="stranger",H181="voice",ISNUMBER(J181)),J181,"")</f>
        <v/>
      </c>
      <c r="AC181" s="25" t="str">
        <f aca="false">IF(AND(T181="stranger",H181="text",ISNUMBER(J181)),J181,"")</f>
        <v/>
      </c>
      <c r="AD181" s="25" t="str">
        <f aca="false">IF(AND(T181="stranger",ISNUMBER(O181)),O181,"")</f>
        <v/>
      </c>
      <c r="AE181" s="25" t="str">
        <f aca="false">IF(AND(T181="stranger",ISNUMBER(P181)),P181,"")</f>
        <v/>
      </c>
      <c r="AF181" s="25" t="str">
        <f aca="false">IF(AND(T181="friends &amp; family",ISNUMBER(L181)),L181,"")</f>
        <v/>
      </c>
      <c r="AG181" s="9"/>
    </row>
    <row r="182" customFormat="false" ht="1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25" t="str">
        <f aca="false">IF(AND(T182="stranger",ISNUMBER(L182)),L182,"")</f>
        <v/>
      </c>
      <c r="V182" s="25" t="str">
        <f aca="false">IF(AND(T182="stranger",H182="voice",ISNUMBER(L182)),L182,"")</f>
        <v/>
      </c>
      <c r="W182" s="25" t="str">
        <f aca="false">IF(AND(T182="stranger",H182="text",ISNUMBER(L182)),L182,"")</f>
        <v/>
      </c>
      <c r="X182" s="25" t="str">
        <f aca="false">IF(AND(T182="stranger",ISNUMBER(M182)),M182,"")</f>
        <v/>
      </c>
      <c r="Y182" s="25" t="str">
        <f aca="false">IF(AND(T182="stranger",H182="voice",ISNUMBER(M182)),M182,"")</f>
        <v/>
      </c>
      <c r="Z182" s="25" t="str">
        <f aca="false">IF(AND(T182="stranger",H182="text",ISNUMBER(M182)),M182,"")</f>
        <v/>
      </c>
      <c r="AA182" s="25" t="str">
        <f aca="false">IF(AND(T182="stranger",ISNUMBER(J182)),J182,"")</f>
        <v/>
      </c>
      <c r="AB182" s="25" t="str">
        <f aca="false">IF(AND(T182="stranger",H182="voice",ISNUMBER(J182)),J182,"")</f>
        <v/>
      </c>
      <c r="AC182" s="25" t="str">
        <f aca="false">IF(AND(T182="stranger",H182="text",ISNUMBER(J182)),J182,"")</f>
        <v/>
      </c>
      <c r="AD182" s="25" t="str">
        <f aca="false">IF(AND(T182="stranger",ISNUMBER(O182)),O182,"")</f>
        <v/>
      </c>
      <c r="AE182" s="25" t="str">
        <f aca="false">IF(AND(T182="stranger",ISNUMBER(P182)),P182,"")</f>
        <v/>
      </c>
      <c r="AF182" s="25" t="str">
        <f aca="false">IF(AND(T182="friends &amp; family",ISNUMBER(L182)),L182,"")</f>
        <v/>
      </c>
      <c r="AG182" s="9"/>
    </row>
    <row r="183" customFormat="false" ht="1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25" t="str">
        <f aca="false">IF(AND(T183="stranger",ISNUMBER(L183)),L183,"")</f>
        <v/>
      </c>
      <c r="V183" s="25" t="str">
        <f aca="false">IF(AND(T183="stranger",H183="voice",ISNUMBER(L183)),L183,"")</f>
        <v/>
      </c>
      <c r="W183" s="25" t="str">
        <f aca="false">IF(AND(T183="stranger",H183="text",ISNUMBER(L183)),L183,"")</f>
        <v/>
      </c>
      <c r="X183" s="25" t="str">
        <f aca="false">IF(AND(T183="stranger",ISNUMBER(M183)),M183,"")</f>
        <v/>
      </c>
      <c r="Y183" s="25" t="str">
        <f aca="false">IF(AND(T183="stranger",H183="voice",ISNUMBER(M183)),M183,"")</f>
        <v/>
      </c>
      <c r="Z183" s="25" t="str">
        <f aca="false">IF(AND(T183="stranger",H183="text",ISNUMBER(M183)),M183,"")</f>
        <v/>
      </c>
      <c r="AA183" s="25" t="str">
        <f aca="false">IF(AND(T183="stranger",ISNUMBER(J183)),J183,"")</f>
        <v/>
      </c>
      <c r="AB183" s="25" t="str">
        <f aca="false">IF(AND(T183="stranger",H183="voice",ISNUMBER(J183)),J183,"")</f>
        <v/>
      </c>
      <c r="AC183" s="25" t="str">
        <f aca="false">IF(AND(T183="stranger",H183="text",ISNUMBER(J183)),J183,"")</f>
        <v/>
      </c>
      <c r="AD183" s="25" t="str">
        <f aca="false">IF(AND(T183="stranger",ISNUMBER(O183)),O183,"")</f>
        <v/>
      </c>
      <c r="AE183" s="25" t="str">
        <f aca="false">IF(AND(T183="stranger",ISNUMBER(P183)),P183,"")</f>
        <v/>
      </c>
      <c r="AF183" s="25" t="str">
        <f aca="false">IF(AND(T183="friends &amp; family",ISNUMBER(L183)),L183,"")</f>
        <v/>
      </c>
      <c r="AG183" s="9"/>
    </row>
    <row r="184" customFormat="false" ht="1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25" t="str">
        <f aca="false">IF(AND(T184="stranger",ISNUMBER(L184)),L184,"")</f>
        <v/>
      </c>
      <c r="V184" s="25" t="str">
        <f aca="false">IF(AND(T184="stranger",H184="voice",ISNUMBER(L184)),L184,"")</f>
        <v/>
      </c>
      <c r="W184" s="25" t="str">
        <f aca="false">IF(AND(T184="stranger",H184="text",ISNUMBER(L184)),L184,"")</f>
        <v/>
      </c>
      <c r="X184" s="25" t="str">
        <f aca="false">IF(AND(T184="stranger",ISNUMBER(M184)),M184,"")</f>
        <v/>
      </c>
      <c r="Y184" s="25" t="str">
        <f aca="false">IF(AND(T184="stranger",H184="voice",ISNUMBER(M184)),M184,"")</f>
        <v/>
      </c>
      <c r="Z184" s="25" t="str">
        <f aca="false">IF(AND(T184="stranger",H184="text",ISNUMBER(M184)),M184,"")</f>
        <v/>
      </c>
      <c r="AA184" s="25" t="str">
        <f aca="false">IF(AND(T184="stranger",ISNUMBER(J184)),J184,"")</f>
        <v/>
      </c>
      <c r="AB184" s="25" t="str">
        <f aca="false">IF(AND(T184="stranger",H184="voice",ISNUMBER(J184)),J184,"")</f>
        <v/>
      </c>
      <c r="AC184" s="25" t="str">
        <f aca="false">IF(AND(T184="stranger",H184="text",ISNUMBER(J184)),J184,"")</f>
        <v/>
      </c>
      <c r="AD184" s="25" t="str">
        <f aca="false">IF(AND(T184="stranger",ISNUMBER(O184)),O184,"")</f>
        <v/>
      </c>
      <c r="AE184" s="25" t="str">
        <f aca="false">IF(AND(T184="stranger",ISNUMBER(P184)),P184,"")</f>
        <v/>
      </c>
      <c r="AF184" s="25" t="str">
        <f aca="false">IF(AND(T184="friends &amp; family",ISNUMBER(L184)),L184,"")</f>
        <v/>
      </c>
      <c r="AG184" s="9"/>
    </row>
    <row r="185" customFormat="false" ht="1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25" t="str">
        <f aca="false">IF(AND(T185="stranger",ISNUMBER(L185)),L185,"")</f>
        <v/>
      </c>
      <c r="V185" s="25" t="str">
        <f aca="false">IF(AND(T185="stranger",H185="voice",ISNUMBER(L185)),L185,"")</f>
        <v/>
      </c>
      <c r="W185" s="25" t="str">
        <f aca="false">IF(AND(T185="stranger",H185="text",ISNUMBER(L185)),L185,"")</f>
        <v/>
      </c>
      <c r="X185" s="25" t="str">
        <f aca="false">IF(AND(T185="stranger",ISNUMBER(M185)),M185,"")</f>
        <v/>
      </c>
      <c r="Y185" s="25" t="str">
        <f aca="false">IF(AND(T185="stranger",H185="voice",ISNUMBER(M185)),M185,"")</f>
        <v/>
      </c>
      <c r="Z185" s="25" t="str">
        <f aca="false">IF(AND(T185="stranger",H185="text",ISNUMBER(M185)),M185,"")</f>
        <v/>
      </c>
      <c r="AA185" s="25" t="str">
        <f aca="false">IF(AND(T185="stranger",ISNUMBER(J185)),J185,"")</f>
        <v/>
      </c>
      <c r="AB185" s="25" t="str">
        <f aca="false">IF(AND(T185="stranger",H185="voice",ISNUMBER(J185)),J185,"")</f>
        <v/>
      </c>
      <c r="AC185" s="25" t="str">
        <f aca="false">IF(AND(T185="stranger",H185="text",ISNUMBER(J185)),J185,"")</f>
        <v/>
      </c>
      <c r="AD185" s="25" t="str">
        <f aca="false">IF(AND(T185="stranger",ISNUMBER(O185)),O185,"")</f>
        <v/>
      </c>
      <c r="AE185" s="25" t="str">
        <f aca="false">IF(AND(T185="stranger",ISNUMBER(P185)),P185,"")</f>
        <v/>
      </c>
      <c r="AF185" s="25" t="str">
        <f aca="false">IF(AND(T185="friends &amp; family",ISNUMBER(L185)),L185,"")</f>
        <v/>
      </c>
      <c r="AG185" s="9"/>
    </row>
    <row r="186" customFormat="false" ht="1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25" t="str">
        <f aca="false">IF(AND(T186="stranger",ISNUMBER(L186)),L186,"")</f>
        <v/>
      </c>
      <c r="V186" s="25" t="str">
        <f aca="false">IF(AND(T186="stranger",H186="voice",ISNUMBER(L186)),L186,"")</f>
        <v/>
      </c>
      <c r="W186" s="25" t="str">
        <f aca="false">IF(AND(T186="stranger",H186="text",ISNUMBER(L186)),L186,"")</f>
        <v/>
      </c>
      <c r="X186" s="25" t="str">
        <f aca="false">IF(AND(T186="stranger",ISNUMBER(M186)),M186,"")</f>
        <v/>
      </c>
      <c r="Y186" s="25" t="str">
        <f aca="false">IF(AND(T186="stranger",H186="voice",ISNUMBER(M186)),M186,"")</f>
        <v/>
      </c>
      <c r="Z186" s="25" t="str">
        <f aca="false">IF(AND(T186="stranger",H186="text",ISNUMBER(M186)),M186,"")</f>
        <v/>
      </c>
      <c r="AA186" s="25" t="str">
        <f aca="false">IF(AND(T186="stranger",ISNUMBER(J186)),J186,"")</f>
        <v/>
      </c>
      <c r="AB186" s="25" t="str">
        <f aca="false">IF(AND(T186="stranger",H186="voice",ISNUMBER(J186)),J186,"")</f>
        <v/>
      </c>
      <c r="AC186" s="25" t="str">
        <f aca="false">IF(AND(T186="stranger",H186="text",ISNUMBER(J186)),J186,"")</f>
        <v/>
      </c>
      <c r="AD186" s="25" t="str">
        <f aca="false">IF(AND(T186="stranger",ISNUMBER(O186)),O186,"")</f>
        <v/>
      </c>
      <c r="AE186" s="25" t="str">
        <f aca="false">IF(AND(T186="stranger",ISNUMBER(P186)),P186,"")</f>
        <v/>
      </c>
      <c r="AF186" s="25" t="str">
        <f aca="false">IF(AND(T186="friends &amp; family",ISNUMBER(L186)),L186,"")</f>
        <v/>
      </c>
      <c r="AG186" s="9"/>
    </row>
    <row r="187" customFormat="false" ht="1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25" t="str">
        <f aca="false">IF(AND(T187="stranger",ISNUMBER(L187)),L187,"")</f>
        <v/>
      </c>
      <c r="V187" s="25" t="str">
        <f aca="false">IF(AND(T187="stranger",H187="voice",ISNUMBER(L187)),L187,"")</f>
        <v/>
      </c>
      <c r="W187" s="25" t="str">
        <f aca="false">IF(AND(T187="stranger",H187="text",ISNUMBER(L187)),L187,"")</f>
        <v/>
      </c>
      <c r="X187" s="25" t="str">
        <f aca="false">IF(AND(T187="stranger",ISNUMBER(M187)),M187,"")</f>
        <v/>
      </c>
      <c r="Y187" s="25" t="str">
        <f aca="false">IF(AND(T187="stranger",H187="voice",ISNUMBER(M187)),M187,"")</f>
        <v/>
      </c>
      <c r="Z187" s="25" t="str">
        <f aca="false">IF(AND(T187="stranger",H187="text",ISNUMBER(M187)),M187,"")</f>
        <v/>
      </c>
      <c r="AA187" s="25" t="str">
        <f aca="false">IF(AND(T187="stranger",ISNUMBER(J187)),J187,"")</f>
        <v/>
      </c>
      <c r="AB187" s="25" t="str">
        <f aca="false">IF(AND(T187="stranger",H187="voice",ISNUMBER(J187)),J187,"")</f>
        <v/>
      </c>
      <c r="AC187" s="25" t="str">
        <f aca="false">IF(AND(T187="stranger",H187="text",ISNUMBER(J187)),J187,"")</f>
        <v/>
      </c>
      <c r="AD187" s="25" t="str">
        <f aca="false">IF(AND(T187="stranger",ISNUMBER(O187)),O187,"")</f>
        <v/>
      </c>
      <c r="AE187" s="25" t="str">
        <f aca="false">IF(AND(T187="stranger",ISNUMBER(P187)),P187,"")</f>
        <v/>
      </c>
      <c r="AF187" s="25" t="str">
        <f aca="false">IF(AND(T187="friends &amp; family",ISNUMBER(L187)),L187,"")</f>
        <v/>
      </c>
      <c r="AG187" s="9"/>
    </row>
    <row r="188" customFormat="false" ht="1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25" t="str">
        <f aca="false">IF(AND(T188="stranger",ISNUMBER(L188)),L188,"")</f>
        <v/>
      </c>
      <c r="V188" s="25" t="str">
        <f aca="false">IF(AND(T188="stranger",H188="voice",ISNUMBER(L188)),L188,"")</f>
        <v/>
      </c>
      <c r="W188" s="25" t="str">
        <f aca="false">IF(AND(T188="stranger",H188="text",ISNUMBER(L188)),L188,"")</f>
        <v/>
      </c>
      <c r="X188" s="25" t="str">
        <f aca="false">IF(AND(T188="stranger",ISNUMBER(M188)),M188,"")</f>
        <v/>
      </c>
      <c r="Y188" s="25" t="str">
        <f aca="false">IF(AND(T188="stranger",H188="voice",ISNUMBER(M188)),M188,"")</f>
        <v/>
      </c>
      <c r="Z188" s="25" t="str">
        <f aca="false">IF(AND(T188="stranger",H188="text",ISNUMBER(M188)),M188,"")</f>
        <v/>
      </c>
      <c r="AA188" s="25" t="str">
        <f aca="false">IF(AND(T188="stranger",ISNUMBER(J188)),J188,"")</f>
        <v/>
      </c>
      <c r="AB188" s="25" t="str">
        <f aca="false">IF(AND(T188="stranger",H188="voice",ISNUMBER(J188)),J188,"")</f>
        <v/>
      </c>
      <c r="AC188" s="25" t="str">
        <f aca="false">IF(AND(T188="stranger",H188="text",ISNUMBER(J188)),J188,"")</f>
        <v/>
      </c>
      <c r="AD188" s="25" t="str">
        <f aca="false">IF(AND(T188="stranger",ISNUMBER(O188)),O188,"")</f>
        <v/>
      </c>
      <c r="AE188" s="25" t="str">
        <f aca="false">IF(AND(T188="stranger",ISNUMBER(P188)),P188,"")</f>
        <v/>
      </c>
      <c r="AF188" s="25" t="str">
        <f aca="false">IF(AND(T188="friends &amp; family",ISNUMBER(L188)),L188,"")</f>
        <v/>
      </c>
      <c r="AG188" s="9"/>
    </row>
    <row r="189" customFormat="false" ht="1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25" t="str">
        <f aca="false">IF(AND(T189="stranger",ISNUMBER(L189)),L189,"")</f>
        <v/>
      </c>
      <c r="V189" s="25" t="str">
        <f aca="false">IF(AND(T189="stranger",H189="voice",ISNUMBER(L189)),L189,"")</f>
        <v/>
      </c>
      <c r="W189" s="25" t="str">
        <f aca="false">IF(AND(T189="stranger",H189="text",ISNUMBER(L189)),L189,"")</f>
        <v/>
      </c>
      <c r="X189" s="25" t="str">
        <f aca="false">IF(AND(T189="stranger",ISNUMBER(M189)),M189,"")</f>
        <v/>
      </c>
      <c r="Y189" s="25" t="str">
        <f aca="false">IF(AND(T189="stranger",H189="voice",ISNUMBER(M189)),M189,"")</f>
        <v/>
      </c>
      <c r="Z189" s="25" t="str">
        <f aca="false">IF(AND(T189="stranger",H189="text",ISNUMBER(M189)),M189,"")</f>
        <v/>
      </c>
      <c r="AA189" s="25" t="str">
        <f aca="false">IF(AND(T189="stranger",ISNUMBER(J189)),J189,"")</f>
        <v/>
      </c>
      <c r="AB189" s="25" t="str">
        <f aca="false">IF(AND(T189="stranger",H189="voice",ISNUMBER(J189)),J189,"")</f>
        <v/>
      </c>
      <c r="AC189" s="25" t="str">
        <f aca="false">IF(AND(T189="stranger",H189="text",ISNUMBER(J189)),J189,"")</f>
        <v/>
      </c>
      <c r="AD189" s="25" t="str">
        <f aca="false">IF(AND(T189="stranger",ISNUMBER(O189)),O189,"")</f>
        <v/>
      </c>
      <c r="AE189" s="25" t="str">
        <f aca="false">IF(AND(T189="stranger",ISNUMBER(P189)),P189,"")</f>
        <v/>
      </c>
      <c r="AF189" s="25" t="str">
        <f aca="false">IF(AND(T189="friends &amp; family",ISNUMBER(L189)),L189,"")</f>
        <v/>
      </c>
      <c r="AG189" s="9"/>
    </row>
    <row r="190" customFormat="false" ht="1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25" t="str">
        <f aca="false">IF(AND(T190="stranger",ISNUMBER(L190)),L190,"")</f>
        <v/>
      </c>
      <c r="V190" s="25" t="str">
        <f aca="false">IF(AND(T190="stranger",H190="voice",ISNUMBER(L190)),L190,"")</f>
        <v/>
      </c>
      <c r="W190" s="25" t="str">
        <f aca="false">IF(AND(T190="stranger",H190="text",ISNUMBER(L190)),L190,"")</f>
        <v/>
      </c>
      <c r="X190" s="25" t="str">
        <f aca="false">IF(AND(T190="stranger",ISNUMBER(M190)),M190,"")</f>
        <v/>
      </c>
      <c r="Y190" s="25" t="str">
        <f aca="false">IF(AND(T190="stranger",H190="voice",ISNUMBER(M190)),M190,"")</f>
        <v/>
      </c>
      <c r="Z190" s="25" t="str">
        <f aca="false">IF(AND(T190="stranger",H190="text",ISNUMBER(M190)),M190,"")</f>
        <v/>
      </c>
      <c r="AA190" s="25" t="str">
        <f aca="false">IF(AND(T190="stranger",ISNUMBER(J190)),J190,"")</f>
        <v/>
      </c>
      <c r="AB190" s="25" t="str">
        <f aca="false">IF(AND(T190="stranger",H190="voice",ISNUMBER(J190)),J190,"")</f>
        <v/>
      </c>
      <c r="AC190" s="25" t="str">
        <f aca="false">IF(AND(T190="stranger",H190="text",ISNUMBER(J190)),J190,"")</f>
        <v/>
      </c>
      <c r="AD190" s="25" t="str">
        <f aca="false">IF(AND(T190="stranger",ISNUMBER(O190)),O190,"")</f>
        <v/>
      </c>
      <c r="AE190" s="25" t="str">
        <f aca="false">IF(AND(T190="stranger",ISNUMBER(P190)),P190,"")</f>
        <v/>
      </c>
      <c r="AF190" s="25" t="str">
        <f aca="false">IF(AND(T190="friends &amp; family",ISNUMBER(L190)),L190,"")</f>
        <v/>
      </c>
      <c r="AG190" s="9"/>
    </row>
    <row r="191" customFormat="false" ht="1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25" t="str">
        <f aca="false">IF(AND(T191="stranger",ISNUMBER(L191)),L191,"")</f>
        <v/>
      </c>
      <c r="V191" s="25" t="str">
        <f aca="false">IF(AND(T191="stranger",H191="voice",ISNUMBER(L191)),L191,"")</f>
        <v/>
      </c>
      <c r="W191" s="25" t="str">
        <f aca="false">IF(AND(T191="stranger",H191="text",ISNUMBER(L191)),L191,"")</f>
        <v/>
      </c>
      <c r="X191" s="25" t="str">
        <f aca="false">IF(AND(T191="stranger",ISNUMBER(M191)),M191,"")</f>
        <v/>
      </c>
      <c r="Y191" s="25" t="str">
        <f aca="false">IF(AND(T191="stranger",H191="voice",ISNUMBER(M191)),M191,"")</f>
        <v/>
      </c>
      <c r="Z191" s="25" t="str">
        <f aca="false">IF(AND(T191="stranger",H191="text",ISNUMBER(M191)),M191,"")</f>
        <v/>
      </c>
      <c r="AA191" s="25" t="str">
        <f aca="false">IF(AND(T191="stranger",ISNUMBER(J191)),J191,"")</f>
        <v/>
      </c>
      <c r="AB191" s="25" t="str">
        <f aca="false">IF(AND(T191="stranger",H191="voice",ISNUMBER(J191)),J191,"")</f>
        <v/>
      </c>
      <c r="AC191" s="25" t="str">
        <f aca="false">IF(AND(T191="stranger",H191="text",ISNUMBER(J191)),J191,"")</f>
        <v/>
      </c>
      <c r="AD191" s="25" t="str">
        <f aca="false">IF(AND(T191="stranger",ISNUMBER(O191)),O191,"")</f>
        <v/>
      </c>
      <c r="AE191" s="25" t="str">
        <f aca="false">IF(AND(T191="stranger",ISNUMBER(P191)),P191,"")</f>
        <v/>
      </c>
      <c r="AF191" s="25" t="str">
        <f aca="false">IF(AND(T191="friends &amp; family",ISNUMBER(L191)),L191,"")</f>
        <v/>
      </c>
      <c r="AG191" s="9"/>
    </row>
    <row r="192" customFormat="false" ht="1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25" t="str">
        <f aca="false">IF(AND(T192="stranger",ISNUMBER(L192)),L192,"")</f>
        <v/>
      </c>
      <c r="V192" s="25" t="str">
        <f aca="false">IF(AND(T192="stranger",H192="voice",ISNUMBER(L192)),L192,"")</f>
        <v/>
      </c>
      <c r="W192" s="25" t="str">
        <f aca="false">IF(AND(T192="stranger",H192="text",ISNUMBER(L192)),L192,"")</f>
        <v/>
      </c>
      <c r="X192" s="25" t="str">
        <f aca="false">IF(AND(T192="stranger",ISNUMBER(M192)),M192,"")</f>
        <v/>
      </c>
      <c r="Y192" s="25" t="str">
        <f aca="false">IF(AND(T192="stranger",H192="voice",ISNUMBER(M192)),M192,"")</f>
        <v/>
      </c>
      <c r="Z192" s="25" t="str">
        <f aca="false">IF(AND(T192="stranger",H192="text",ISNUMBER(M192)),M192,"")</f>
        <v/>
      </c>
      <c r="AA192" s="25" t="str">
        <f aca="false">IF(AND(T192="stranger",ISNUMBER(J192)),J192,"")</f>
        <v/>
      </c>
      <c r="AB192" s="25" t="str">
        <f aca="false">IF(AND(T192="stranger",H192="voice",ISNUMBER(J192)),J192,"")</f>
        <v/>
      </c>
      <c r="AC192" s="25" t="str">
        <f aca="false">IF(AND(T192="stranger",H192="text",ISNUMBER(J192)),J192,"")</f>
        <v/>
      </c>
      <c r="AD192" s="25" t="str">
        <f aca="false">IF(AND(T192="stranger",ISNUMBER(O192)),O192,"")</f>
        <v/>
      </c>
      <c r="AE192" s="25" t="str">
        <f aca="false">IF(AND(T192="stranger",ISNUMBER(P192)),P192,"")</f>
        <v/>
      </c>
      <c r="AF192" s="25" t="str">
        <f aca="false">IF(AND(T192="friends &amp; family",ISNUMBER(L192)),L192,"")</f>
        <v/>
      </c>
      <c r="AG192" s="9"/>
    </row>
    <row r="193" customFormat="false" ht="1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25" t="str">
        <f aca="false">IF(AND(T193="stranger",ISNUMBER(L193)),L193,"")</f>
        <v/>
      </c>
      <c r="V193" s="25" t="str">
        <f aca="false">IF(AND(T193="stranger",H193="voice",ISNUMBER(L193)),L193,"")</f>
        <v/>
      </c>
      <c r="W193" s="25" t="str">
        <f aca="false">IF(AND(T193="stranger",H193="text",ISNUMBER(L193)),L193,"")</f>
        <v/>
      </c>
      <c r="X193" s="25" t="str">
        <f aca="false">IF(AND(T193="stranger",ISNUMBER(M193)),M193,"")</f>
        <v/>
      </c>
      <c r="Y193" s="25" t="str">
        <f aca="false">IF(AND(T193="stranger",H193="voice",ISNUMBER(M193)),M193,"")</f>
        <v/>
      </c>
      <c r="Z193" s="25" t="str">
        <f aca="false">IF(AND(T193="stranger",H193="text",ISNUMBER(M193)),M193,"")</f>
        <v/>
      </c>
      <c r="AA193" s="25" t="str">
        <f aca="false">IF(AND(T193="stranger",ISNUMBER(J193)),J193,"")</f>
        <v/>
      </c>
      <c r="AB193" s="25" t="str">
        <f aca="false">IF(AND(T193="stranger",H193="voice",ISNUMBER(J193)),J193,"")</f>
        <v/>
      </c>
      <c r="AC193" s="25" t="str">
        <f aca="false">IF(AND(T193="stranger",H193="text",ISNUMBER(J193)),J193,"")</f>
        <v/>
      </c>
      <c r="AD193" s="25" t="str">
        <f aca="false">IF(AND(T193="stranger",ISNUMBER(O193)),O193,"")</f>
        <v/>
      </c>
      <c r="AE193" s="25" t="str">
        <f aca="false">IF(AND(T193="stranger",ISNUMBER(P193)),P193,"")</f>
        <v/>
      </c>
      <c r="AF193" s="25" t="str">
        <f aca="false">IF(AND(T193="friends &amp; family",ISNUMBER(L193)),L193,"")</f>
        <v/>
      </c>
      <c r="AG193" s="9"/>
    </row>
    <row r="194" customFormat="false" ht="1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25" t="str">
        <f aca="false">IF(AND(T194="stranger",ISNUMBER(L194)),L194,"")</f>
        <v/>
      </c>
      <c r="V194" s="25" t="str">
        <f aca="false">IF(AND(T194="stranger",H194="voice",ISNUMBER(L194)),L194,"")</f>
        <v/>
      </c>
      <c r="W194" s="25" t="str">
        <f aca="false">IF(AND(T194="stranger",H194="text",ISNUMBER(L194)),L194,"")</f>
        <v/>
      </c>
      <c r="X194" s="25" t="str">
        <f aca="false">IF(AND(T194="stranger",ISNUMBER(M194)),M194,"")</f>
        <v/>
      </c>
      <c r="Y194" s="25" t="str">
        <f aca="false">IF(AND(T194="stranger",H194="voice",ISNUMBER(M194)),M194,"")</f>
        <v/>
      </c>
      <c r="Z194" s="25" t="str">
        <f aca="false">IF(AND(T194="stranger",H194="text",ISNUMBER(M194)),M194,"")</f>
        <v/>
      </c>
      <c r="AA194" s="25" t="str">
        <f aca="false">IF(AND(T194="stranger",ISNUMBER(J194)),J194,"")</f>
        <v/>
      </c>
      <c r="AB194" s="25" t="str">
        <f aca="false">IF(AND(T194="stranger",H194="voice",ISNUMBER(J194)),J194,"")</f>
        <v/>
      </c>
      <c r="AC194" s="25" t="str">
        <f aca="false">IF(AND(T194="stranger",H194="text",ISNUMBER(J194)),J194,"")</f>
        <v/>
      </c>
      <c r="AD194" s="25" t="str">
        <f aca="false">IF(AND(T194="stranger",ISNUMBER(O194)),O194,"")</f>
        <v/>
      </c>
      <c r="AE194" s="25" t="str">
        <f aca="false">IF(AND(T194="stranger",ISNUMBER(P194)),P194,"")</f>
        <v/>
      </c>
      <c r="AF194" s="25" t="str">
        <f aca="false">IF(AND(T194="friends &amp; family",ISNUMBER(L194)),L194,"")</f>
        <v/>
      </c>
      <c r="AG194" s="9"/>
    </row>
    <row r="195" customFormat="false" ht="1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25" t="str">
        <f aca="false">IF(AND(T195="stranger",ISNUMBER(L195)),L195,"")</f>
        <v/>
      </c>
      <c r="V195" s="25" t="str">
        <f aca="false">IF(AND(T195="stranger",H195="voice",ISNUMBER(L195)),L195,"")</f>
        <v/>
      </c>
      <c r="W195" s="25" t="str">
        <f aca="false">IF(AND(T195="stranger",H195="text",ISNUMBER(L195)),L195,"")</f>
        <v/>
      </c>
      <c r="X195" s="25" t="str">
        <f aca="false">IF(AND(T195="stranger",ISNUMBER(M195)),M195,"")</f>
        <v/>
      </c>
      <c r="Y195" s="25" t="str">
        <f aca="false">IF(AND(T195="stranger",H195="voice",ISNUMBER(M195)),M195,"")</f>
        <v/>
      </c>
      <c r="Z195" s="25" t="str">
        <f aca="false">IF(AND(T195="stranger",H195="text",ISNUMBER(M195)),M195,"")</f>
        <v/>
      </c>
      <c r="AA195" s="25" t="str">
        <f aca="false">IF(AND(T195="stranger",ISNUMBER(J195)),J195,"")</f>
        <v/>
      </c>
      <c r="AB195" s="25" t="str">
        <f aca="false">IF(AND(T195="stranger",H195="voice",ISNUMBER(J195)),J195,"")</f>
        <v/>
      </c>
      <c r="AC195" s="25" t="str">
        <f aca="false">IF(AND(T195="stranger",H195="text",ISNUMBER(J195)),J195,"")</f>
        <v/>
      </c>
      <c r="AD195" s="25" t="str">
        <f aca="false">IF(AND(T195="stranger",ISNUMBER(O195)),O195,"")</f>
        <v/>
      </c>
      <c r="AE195" s="25" t="str">
        <f aca="false">IF(AND(T195="stranger",ISNUMBER(P195)),P195,"")</f>
        <v/>
      </c>
      <c r="AF195" s="25" t="str">
        <f aca="false">IF(AND(T195="friends &amp; family",ISNUMBER(L195)),L195,"")</f>
        <v/>
      </c>
      <c r="AG195" s="9"/>
    </row>
    <row r="196" customFormat="false" ht="1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25" t="str">
        <f aca="false">IF(AND(T196="stranger",ISNUMBER(L196)),L196,"")</f>
        <v/>
      </c>
      <c r="V196" s="25" t="str">
        <f aca="false">IF(AND(T196="stranger",H196="voice",ISNUMBER(L196)),L196,"")</f>
        <v/>
      </c>
      <c r="W196" s="25" t="str">
        <f aca="false">IF(AND(T196="stranger",H196="text",ISNUMBER(L196)),L196,"")</f>
        <v/>
      </c>
      <c r="X196" s="25" t="str">
        <f aca="false">IF(AND(T196="stranger",ISNUMBER(M196)),M196,"")</f>
        <v/>
      </c>
      <c r="Y196" s="25" t="str">
        <f aca="false">IF(AND(T196="stranger",H196="voice",ISNUMBER(M196)),M196,"")</f>
        <v/>
      </c>
      <c r="Z196" s="25" t="str">
        <f aca="false">IF(AND(T196="stranger",H196="text",ISNUMBER(M196)),M196,"")</f>
        <v/>
      </c>
      <c r="AA196" s="25" t="str">
        <f aca="false">IF(AND(T196="stranger",ISNUMBER(J196)),J196,"")</f>
        <v/>
      </c>
      <c r="AB196" s="25" t="str">
        <f aca="false">IF(AND(T196="stranger",H196="voice",ISNUMBER(J196)),J196,"")</f>
        <v/>
      </c>
      <c r="AC196" s="25" t="str">
        <f aca="false">IF(AND(T196="stranger",H196="text",ISNUMBER(J196)),J196,"")</f>
        <v/>
      </c>
      <c r="AD196" s="25" t="str">
        <f aca="false">IF(AND(T196="stranger",ISNUMBER(O196)),O196,"")</f>
        <v/>
      </c>
      <c r="AE196" s="25" t="str">
        <f aca="false">IF(AND(T196="stranger",ISNUMBER(P196)),P196,"")</f>
        <v/>
      </c>
      <c r="AF196" s="25" t="str">
        <f aca="false">IF(AND(T196="friends &amp; family",ISNUMBER(L196)),L196,"")</f>
        <v/>
      </c>
      <c r="AG196" s="9"/>
    </row>
    <row r="197" customFormat="false" ht="1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25" t="str">
        <f aca="false">IF(AND(T197="stranger",ISNUMBER(L197)),L197,"")</f>
        <v/>
      </c>
      <c r="V197" s="25" t="str">
        <f aca="false">IF(AND(T197="stranger",H197="voice",ISNUMBER(L197)),L197,"")</f>
        <v/>
      </c>
      <c r="W197" s="25" t="str">
        <f aca="false">IF(AND(T197="stranger",H197="text",ISNUMBER(L197)),L197,"")</f>
        <v/>
      </c>
      <c r="X197" s="25" t="str">
        <f aca="false">IF(AND(T197="stranger",ISNUMBER(M197)),M197,"")</f>
        <v/>
      </c>
      <c r="Y197" s="25" t="str">
        <f aca="false">IF(AND(T197="stranger",H197="voice",ISNUMBER(M197)),M197,"")</f>
        <v/>
      </c>
      <c r="Z197" s="25" t="str">
        <f aca="false">IF(AND(T197="stranger",H197="text",ISNUMBER(M197)),M197,"")</f>
        <v/>
      </c>
      <c r="AA197" s="25" t="str">
        <f aca="false">IF(AND(T197="stranger",ISNUMBER(J197)),J197,"")</f>
        <v/>
      </c>
      <c r="AB197" s="25" t="str">
        <f aca="false">IF(AND(T197="stranger",H197="voice",ISNUMBER(J197)),J197,"")</f>
        <v/>
      </c>
      <c r="AC197" s="25" t="str">
        <f aca="false">IF(AND(T197="stranger",H197="text",ISNUMBER(J197)),J197,"")</f>
        <v/>
      </c>
      <c r="AD197" s="25" t="str">
        <f aca="false">IF(AND(T197="stranger",ISNUMBER(O197)),O197,"")</f>
        <v/>
      </c>
      <c r="AE197" s="25" t="str">
        <f aca="false">IF(AND(T197="stranger",ISNUMBER(P197)),P197,"")</f>
        <v/>
      </c>
      <c r="AF197" s="25" t="str">
        <f aca="false">IF(AND(T197="friends &amp; family",ISNUMBER(L197)),L197,"")</f>
        <v/>
      </c>
      <c r="AG197" s="9"/>
    </row>
    <row r="198" customFormat="false" ht="1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25" t="str">
        <f aca="false">IF(AND(T198="stranger",ISNUMBER(L198)),L198,"")</f>
        <v/>
      </c>
      <c r="V198" s="25" t="str">
        <f aca="false">IF(AND(T198="stranger",H198="voice",ISNUMBER(L198)),L198,"")</f>
        <v/>
      </c>
      <c r="W198" s="25" t="str">
        <f aca="false">IF(AND(T198="stranger",H198="text",ISNUMBER(L198)),L198,"")</f>
        <v/>
      </c>
      <c r="X198" s="25" t="str">
        <f aca="false">IF(AND(T198="stranger",ISNUMBER(M198)),M198,"")</f>
        <v/>
      </c>
      <c r="Y198" s="25" t="str">
        <f aca="false">IF(AND(T198="stranger",H198="voice",ISNUMBER(M198)),M198,"")</f>
        <v/>
      </c>
      <c r="Z198" s="25" t="str">
        <f aca="false">IF(AND(T198="stranger",H198="text",ISNUMBER(M198)),M198,"")</f>
        <v/>
      </c>
      <c r="AA198" s="25" t="str">
        <f aca="false">IF(AND(T198="stranger",ISNUMBER(J198)),J198,"")</f>
        <v/>
      </c>
      <c r="AB198" s="25" t="str">
        <f aca="false">IF(AND(T198="stranger",H198="voice",ISNUMBER(J198)),J198,"")</f>
        <v/>
      </c>
      <c r="AC198" s="25" t="str">
        <f aca="false">IF(AND(T198="stranger",H198="text",ISNUMBER(J198)),J198,"")</f>
        <v/>
      </c>
      <c r="AD198" s="25" t="str">
        <f aca="false">IF(AND(T198="stranger",ISNUMBER(O198)),O198,"")</f>
        <v/>
      </c>
      <c r="AE198" s="25" t="str">
        <f aca="false">IF(AND(T198="stranger",ISNUMBER(P198)),P198,"")</f>
        <v/>
      </c>
      <c r="AF198" s="25" t="str">
        <f aca="false">IF(AND(T198="friends &amp; family",ISNUMBER(L198)),L198,"")</f>
        <v/>
      </c>
      <c r="AG198" s="9"/>
    </row>
    <row r="199" customFormat="false" ht="1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25" t="str">
        <f aca="false">IF(AND(T199="stranger",ISNUMBER(L199)),L199,"")</f>
        <v/>
      </c>
      <c r="V199" s="25" t="str">
        <f aca="false">IF(AND(T199="stranger",H199="voice",ISNUMBER(L199)),L199,"")</f>
        <v/>
      </c>
      <c r="W199" s="25" t="str">
        <f aca="false">IF(AND(T199="stranger",H199="text",ISNUMBER(L199)),L199,"")</f>
        <v/>
      </c>
      <c r="X199" s="25" t="str">
        <f aca="false">IF(AND(T199="stranger",ISNUMBER(M199)),M199,"")</f>
        <v/>
      </c>
      <c r="Y199" s="25" t="str">
        <f aca="false">IF(AND(T199="stranger",H199="voice",ISNUMBER(M199)),M199,"")</f>
        <v/>
      </c>
      <c r="Z199" s="25" t="str">
        <f aca="false">IF(AND(T199="stranger",H199="text",ISNUMBER(M199)),M199,"")</f>
        <v/>
      </c>
      <c r="AA199" s="25" t="str">
        <f aca="false">IF(AND(T199="stranger",ISNUMBER(J199)),J199,"")</f>
        <v/>
      </c>
      <c r="AB199" s="25" t="str">
        <f aca="false">IF(AND(T199="stranger",H199="voice",ISNUMBER(J199)),J199,"")</f>
        <v/>
      </c>
      <c r="AC199" s="25" t="str">
        <f aca="false">IF(AND(T199="stranger",H199="text",ISNUMBER(J199)),J199,"")</f>
        <v/>
      </c>
      <c r="AD199" s="25" t="str">
        <f aca="false">IF(AND(T199="stranger",ISNUMBER(O199)),O199,"")</f>
        <v/>
      </c>
      <c r="AE199" s="25" t="str">
        <f aca="false">IF(AND(T199="stranger",ISNUMBER(P199)),P199,"")</f>
        <v/>
      </c>
      <c r="AF199" s="25" t="str">
        <f aca="false">IF(AND(T199="friends &amp; family",ISNUMBER(L199)),L199,"")</f>
        <v/>
      </c>
      <c r="AG199" s="9"/>
    </row>
    <row r="200" customFormat="false" ht="1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25" t="str">
        <f aca="false">IF(AND(T200="stranger",ISNUMBER(L200)),L200,"")</f>
        <v/>
      </c>
      <c r="V200" s="25" t="str">
        <f aca="false">IF(AND(T200="stranger",H200="voice",ISNUMBER(L200)),L200,"")</f>
        <v/>
      </c>
      <c r="W200" s="25" t="str">
        <f aca="false">IF(AND(T200="stranger",H200="text",ISNUMBER(L200)),L200,"")</f>
        <v/>
      </c>
      <c r="X200" s="25" t="str">
        <f aca="false">IF(AND(T200="stranger",ISNUMBER(M200)),M200,"")</f>
        <v/>
      </c>
      <c r="Y200" s="25" t="str">
        <f aca="false">IF(AND(T200="stranger",H200="voice",ISNUMBER(M200)),M200,"")</f>
        <v/>
      </c>
      <c r="Z200" s="25" t="str">
        <f aca="false">IF(AND(T200="stranger",H200="text",ISNUMBER(M200)),M200,"")</f>
        <v/>
      </c>
      <c r="AA200" s="25" t="str">
        <f aca="false">IF(AND(T200="stranger",ISNUMBER(J200)),J200,"")</f>
        <v/>
      </c>
      <c r="AB200" s="25" t="str">
        <f aca="false">IF(AND(T200="stranger",H200="voice",ISNUMBER(J200)),J200,"")</f>
        <v/>
      </c>
      <c r="AC200" s="25" t="str">
        <f aca="false">IF(AND(T200="stranger",H200="text",ISNUMBER(J200)),J200,"")</f>
        <v/>
      </c>
      <c r="AD200" s="25" t="str">
        <f aca="false">IF(AND(T200="stranger",ISNUMBER(O200)),O200,"")</f>
        <v/>
      </c>
      <c r="AE200" s="25" t="str">
        <f aca="false">IF(AND(T200="stranger",ISNUMBER(P200)),P200,"")</f>
        <v/>
      </c>
      <c r="AF200" s="25" t="str">
        <f aca="false">IF(AND(T200="friends &amp; family",ISNUMBER(L200)),L200,"")</f>
        <v/>
      </c>
      <c r="AG200" s="9"/>
    </row>
    <row r="201" customFormat="false" ht="1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25" t="str">
        <f aca="false">IF(AND(T201="stranger",ISNUMBER(L201)),L201,"")</f>
        <v/>
      </c>
      <c r="V201" s="25" t="str">
        <f aca="false">IF(AND(T201="stranger",H201="voice",ISNUMBER(L201)),L201,"")</f>
        <v/>
      </c>
      <c r="W201" s="25" t="str">
        <f aca="false">IF(AND(T201="stranger",H201="text",ISNUMBER(L201)),L201,"")</f>
        <v/>
      </c>
      <c r="X201" s="25" t="str">
        <f aca="false">IF(AND(T201="stranger",ISNUMBER(M201)),M201,"")</f>
        <v/>
      </c>
      <c r="Y201" s="25" t="str">
        <f aca="false">IF(AND(T201="stranger",H201="voice",ISNUMBER(M201)),M201,"")</f>
        <v/>
      </c>
      <c r="Z201" s="25" t="str">
        <f aca="false">IF(AND(T201="stranger",H201="text",ISNUMBER(M201)),M201,"")</f>
        <v/>
      </c>
      <c r="AA201" s="25" t="str">
        <f aca="false">IF(AND(T201="stranger",ISNUMBER(J201)),J201,"")</f>
        <v/>
      </c>
      <c r="AB201" s="25" t="str">
        <f aca="false">IF(AND(T201="stranger",H201="voice",ISNUMBER(J201)),J201,"")</f>
        <v/>
      </c>
      <c r="AC201" s="25" t="str">
        <f aca="false">IF(AND(T201="stranger",H201="text",ISNUMBER(J201)),J201,"")</f>
        <v/>
      </c>
      <c r="AD201" s="25" t="str">
        <f aca="false">IF(AND(T201="stranger",ISNUMBER(O201)),O201,"")</f>
        <v/>
      </c>
      <c r="AE201" s="25" t="str">
        <f aca="false">IF(AND(T201="stranger",ISNUMBER(P201)),P201,"")</f>
        <v/>
      </c>
      <c r="AF201" s="25" t="str">
        <f aca="false">IF(AND(T201="friends &amp; family",ISNUMBER(L201)),L201,"")</f>
        <v/>
      </c>
      <c r="AG201" s="9"/>
    </row>
    <row r="202" customFormat="false" ht="1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25" t="str">
        <f aca="false">IF(AND(T202="stranger",ISNUMBER(L202)),L202,"")</f>
        <v/>
      </c>
      <c r="V202" s="25" t="str">
        <f aca="false">IF(AND(T202="stranger",H202="voice",ISNUMBER(L202)),L202,"")</f>
        <v/>
      </c>
      <c r="W202" s="25" t="str">
        <f aca="false">IF(AND(T202="stranger",H202="text",ISNUMBER(L202)),L202,"")</f>
        <v/>
      </c>
      <c r="X202" s="25" t="str">
        <f aca="false">IF(AND(T202="stranger",ISNUMBER(M202)),M202,"")</f>
        <v/>
      </c>
      <c r="Y202" s="25" t="str">
        <f aca="false">IF(AND(T202="stranger",H202="voice",ISNUMBER(M202)),M202,"")</f>
        <v/>
      </c>
      <c r="Z202" s="25" t="str">
        <f aca="false">IF(AND(T202="stranger",H202="text",ISNUMBER(M202)),M202,"")</f>
        <v/>
      </c>
      <c r="AA202" s="25" t="str">
        <f aca="false">IF(AND(T202="stranger",ISNUMBER(J202)),J202,"")</f>
        <v/>
      </c>
      <c r="AB202" s="25" t="str">
        <f aca="false">IF(AND(T202="stranger",H202="voice",ISNUMBER(J202)),J202,"")</f>
        <v/>
      </c>
      <c r="AC202" s="25" t="str">
        <f aca="false">IF(AND(T202="stranger",H202="text",ISNUMBER(J202)),J202,"")</f>
        <v/>
      </c>
      <c r="AD202" s="25" t="str">
        <f aca="false">IF(AND(T202="stranger",ISNUMBER(O202)),O202,"")</f>
        <v/>
      </c>
      <c r="AE202" s="25" t="str">
        <f aca="false">IF(AND(T202="stranger",ISNUMBER(P202)),P202,"")</f>
        <v/>
      </c>
      <c r="AF202" s="25" t="str">
        <f aca="false">IF(AND(T202="friends &amp; family",ISNUMBER(L202)),L202,"")</f>
        <v/>
      </c>
      <c r="AG202" s="9"/>
    </row>
    <row r="203" customFormat="false" ht="1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25" t="str">
        <f aca="false">IF(AND(T203="stranger",ISNUMBER(L203)),L203,"")</f>
        <v/>
      </c>
      <c r="V203" s="25" t="str">
        <f aca="false">IF(AND(T203="stranger",H203="voice",ISNUMBER(L203)),L203,"")</f>
        <v/>
      </c>
      <c r="W203" s="25" t="str">
        <f aca="false">IF(AND(T203="stranger",H203="text",ISNUMBER(L203)),L203,"")</f>
        <v/>
      </c>
      <c r="X203" s="25" t="str">
        <f aca="false">IF(AND(T203="stranger",ISNUMBER(M203)),M203,"")</f>
        <v/>
      </c>
      <c r="Y203" s="25" t="str">
        <f aca="false">IF(AND(T203="stranger",H203="voice",ISNUMBER(M203)),M203,"")</f>
        <v/>
      </c>
      <c r="Z203" s="25" t="str">
        <f aca="false">IF(AND(T203="stranger",H203="text",ISNUMBER(M203)),M203,"")</f>
        <v/>
      </c>
      <c r="AA203" s="25" t="str">
        <f aca="false">IF(AND(T203="stranger",ISNUMBER(J203)),J203,"")</f>
        <v/>
      </c>
      <c r="AB203" s="25" t="str">
        <f aca="false">IF(AND(T203="stranger",H203="voice",ISNUMBER(J203)),J203,"")</f>
        <v/>
      </c>
      <c r="AC203" s="25" t="str">
        <f aca="false">IF(AND(T203="stranger",H203="text",ISNUMBER(J203)),J203,"")</f>
        <v/>
      </c>
      <c r="AD203" s="25" t="str">
        <f aca="false">IF(AND(T203="stranger",ISNUMBER(O203)),O203,"")</f>
        <v/>
      </c>
      <c r="AE203" s="25" t="str">
        <f aca="false">IF(AND(T203="stranger",ISNUMBER(P203)),P203,"")</f>
        <v/>
      </c>
      <c r="AF203" s="25" t="str">
        <f aca="false">IF(AND(T203="friends &amp; family",ISNUMBER(L203)),L203,"")</f>
        <v/>
      </c>
      <c r="AG203" s="9"/>
    </row>
    <row r="204" customFormat="false" ht="1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25" t="str">
        <f aca="false">IF(AND(T204="stranger",ISNUMBER(L204)),L204,"")</f>
        <v/>
      </c>
      <c r="V204" s="25" t="str">
        <f aca="false">IF(AND(T204="stranger",H204="voice",ISNUMBER(L204)),L204,"")</f>
        <v/>
      </c>
      <c r="W204" s="25" t="str">
        <f aca="false">IF(AND(T204="stranger",H204="text",ISNUMBER(L204)),L204,"")</f>
        <v/>
      </c>
      <c r="X204" s="25" t="str">
        <f aca="false">IF(AND(T204="stranger",ISNUMBER(M204)),M204,"")</f>
        <v/>
      </c>
      <c r="Y204" s="25" t="str">
        <f aca="false">IF(AND(T204="stranger",H204="voice",ISNUMBER(M204)),M204,"")</f>
        <v/>
      </c>
      <c r="Z204" s="25" t="str">
        <f aca="false">IF(AND(T204="stranger",H204="text",ISNUMBER(M204)),M204,"")</f>
        <v/>
      </c>
      <c r="AA204" s="25" t="str">
        <f aca="false">IF(AND(T204="stranger",ISNUMBER(J204)),J204,"")</f>
        <v/>
      </c>
      <c r="AB204" s="25" t="str">
        <f aca="false">IF(AND(T204="stranger",H204="voice",ISNUMBER(J204)),J204,"")</f>
        <v/>
      </c>
      <c r="AC204" s="25" t="str">
        <f aca="false">IF(AND(T204="stranger",H204="text",ISNUMBER(J204)),J204,"")</f>
        <v/>
      </c>
      <c r="AD204" s="25" t="str">
        <f aca="false">IF(AND(T204="stranger",ISNUMBER(O204)),O204,"")</f>
        <v/>
      </c>
      <c r="AE204" s="25" t="str">
        <f aca="false">IF(AND(T204="stranger",ISNUMBER(P204)),P204,"")</f>
        <v/>
      </c>
      <c r="AF204" s="25" t="str">
        <f aca="false">IF(AND(T204="friends &amp; family",ISNUMBER(L204)),L204,"")</f>
        <v/>
      </c>
      <c r="AG204" s="9"/>
    </row>
    <row r="205" customFormat="false" ht="1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25" t="str">
        <f aca="false">IF(AND(T205="stranger",ISNUMBER(L205)),L205,"")</f>
        <v/>
      </c>
      <c r="V205" s="25" t="str">
        <f aca="false">IF(AND(T205="stranger",H205="voice",ISNUMBER(L205)),L205,"")</f>
        <v/>
      </c>
      <c r="W205" s="25" t="str">
        <f aca="false">IF(AND(T205="stranger",H205="text",ISNUMBER(L205)),L205,"")</f>
        <v/>
      </c>
      <c r="X205" s="25" t="str">
        <f aca="false">IF(AND(T205="stranger",ISNUMBER(M205)),M205,"")</f>
        <v/>
      </c>
      <c r="Y205" s="25" t="str">
        <f aca="false">IF(AND(T205="stranger",H205="voice",ISNUMBER(M205)),M205,"")</f>
        <v/>
      </c>
      <c r="Z205" s="25" t="str">
        <f aca="false">IF(AND(T205="stranger",H205="text",ISNUMBER(M205)),M205,"")</f>
        <v/>
      </c>
      <c r="AA205" s="25" t="str">
        <f aca="false">IF(AND(T205="stranger",ISNUMBER(J205)),J205,"")</f>
        <v/>
      </c>
      <c r="AB205" s="25" t="str">
        <f aca="false">IF(AND(T205="stranger",H205="voice",ISNUMBER(J205)),J205,"")</f>
        <v/>
      </c>
      <c r="AC205" s="25" t="str">
        <f aca="false">IF(AND(T205="stranger",H205="text",ISNUMBER(J205)),J205,"")</f>
        <v/>
      </c>
      <c r="AD205" s="25" t="str">
        <f aca="false">IF(AND(T205="stranger",ISNUMBER(O205)),O205,"")</f>
        <v/>
      </c>
      <c r="AE205" s="25" t="str">
        <f aca="false">IF(AND(T205="stranger",ISNUMBER(P205)),P205,"")</f>
        <v/>
      </c>
      <c r="AF205" s="25" t="str">
        <f aca="false">IF(AND(T205="friends &amp; family",ISNUMBER(L205)),L205,"")</f>
        <v/>
      </c>
      <c r="AG205" s="9"/>
    </row>
  </sheetData>
  <dataValidations count="9">
    <dataValidation allowBlank="true" errorStyle="stop" operator="between" showDropDown="false" showErrorMessage="false" showInputMessage="false" sqref="L6:M205 O6:P205" type="whole">
      <formula1>1</formula1>
      <formula2>5</formula2>
    </dataValidation>
    <dataValidation allowBlank="true" errorStyle="stop" operator="between" showDropDown="false" showErrorMessage="false" showInputMessage="false" sqref="D6:D205" type="list">
      <formula1>"don't know,friend of friend,know you"</formula1>
      <formula2>0</formula2>
    </dataValidation>
    <dataValidation allowBlank="true" errorStyle="stop" operator="between" showDropDown="false" showErrorMessage="false" showInputMessage="false" sqref="F6:F205" type="list">
      <formula1>"Y,N"</formula1>
      <formula2>0</formula2>
    </dataValidation>
    <dataValidation allowBlank="true" errorStyle="stop" operator="between" showDropDown="false" showErrorMessage="false" showInputMessage="false" sqref="G6:G205" type="list">
      <formula1>"Y,N"</formula1>
      <formula2>0</formula2>
    </dataValidation>
    <dataValidation allowBlank="true" errorStyle="stop" operator="between" showDropDown="false" showErrorMessage="false" showInputMessage="false" sqref="H6:H205" type="list">
      <formula1>"voice,text"</formula1>
      <formula2>0</formula2>
    </dataValidation>
    <dataValidation allowBlank="true" errorStyle="stop" operator="between" showDropDown="false" showErrorMessage="false" showInputMessage="false" sqref="I6:I205" type="list">
      <formula1>"Y,N"</formula1>
      <formula2>0</formula2>
    </dataValidation>
    <dataValidation allowBlank="true" errorStyle="stop" operator="between" showDropDown="false" showErrorMessage="false" showInputMessage="false" sqref="K6:K205" type="whole">
      <formula1>1</formula1>
      <formula2>8</formula2>
    </dataValidation>
    <dataValidation allowBlank="true" errorStyle="stop" operator="between" showDropDown="false" showErrorMessage="false" showInputMessage="false" sqref="Q6:Q205" type="list">
      <formula1>"big city,town,coast,countryside,skipped"</formula1>
      <formula2>0</formula2>
    </dataValidation>
    <dataValidation allowBlank="true" errorStyle="stop" operator="between" showDropDown="false" showErrorMessage="false" showInputMessage="false" sqref="T6:T205" type="list">
      <formula1>"stranger,friends &amp; family"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8"/>
    <col collapsed="false" customWidth="true" hidden="false" outlineLevel="0" max="3" min="3" style="1" width="40"/>
    <col collapsed="false" customWidth="true" hidden="false" outlineLevel="0" max="4" min="4" style="1" width="12"/>
    <col collapsed="false" customWidth="true" hidden="false" outlineLevel="0" max="5" min="5" style="1" width="40"/>
  </cols>
  <sheetData>
    <row r="1" customFormat="false" ht="17.25" hidden="false" customHeight="true" outlineLevel="0" collapsed="false">
      <c r="A1" s="6" t="s">
        <v>157</v>
      </c>
    </row>
    <row r="2" customFormat="false" ht="15" hidden="false" customHeight="true" outlineLevel="0" collapsed="false">
      <c r="A2" s="7" t="s">
        <v>158</v>
      </c>
    </row>
    <row r="3" customFormat="false" ht="15" hidden="false" customHeight="true" outlineLevel="0" collapsed="false">
      <c r="A3" s="21" t="s">
        <v>89</v>
      </c>
    </row>
    <row r="4" customFormat="false" ht="15" hidden="false" customHeight="true" outlineLevel="0" collapsed="false">
      <c r="A4" s="22" t="s">
        <v>90</v>
      </c>
      <c r="B4" s="22" t="n">
        <v>2</v>
      </c>
      <c r="C4" s="22" t="s">
        <v>159</v>
      </c>
      <c r="D4" s="22" t="n">
        <v>1</v>
      </c>
      <c r="E4" s="22" t="s">
        <v>160</v>
      </c>
    </row>
    <row r="5" customFormat="false" ht="42" hidden="false" customHeight="true" outlineLevel="0" collapsed="false">
      <c r="A5" s="23" t="s">
        <v>161</v>
      </c>
      <c r="B5" s="23" t="s">
        <v>162</v>
      </c>
      <c r="C5" s="23" t="s">
        <v>163</v>
      </c>
      <c r="D5" s="23" t="s">
        <v>164</v>
      </c>
      <c r="E5" s="23" t="s">
        <v>165</v>
      </c>
    </row>
    <row r="6" customFormat="false" ht="15" hidden="false" customHeight="true" outlineLevel="0" collapsed="false">
      <c r="A6" s="9"/>
      <c r="B6" s="9"/>
      <c r="C6" s="9"/>
      <c r="D6" s="9"/>
      <c r="E6" s="9"/>
    </row>
    <row r="7" customFormat="false" ht="15" hidden="false" customHeight="true" outlineLevel="0" collapsed="false">
      <c r="A7" s="9"/>
      <c r="B7" s="9"/>
      <c r="C7" s="9"/>
      <c r="D7" s="9"/>
      <c r="E7" s="9"/>
    </row>
    <row r="8" customFormat="false" ht="15" hidden="false" customHeight="true" outlineLevel="0" collapsed="false">
      <c r="A8" s="9"/>
      <c r="B8" s="9"/>
      <c r="C8" s="9"/>
      <c r="D8" s="9"/>
      <c r="E8" s="9"/>
    </row>
    <row r="9" customFormat="false" ht="15" hidden="false" customHeight="true" outlineLevel="0" collapsed="false">
      <c r="A9" s="9"/>
      <c r="B9" s="9"/>
      <c r="C9" s="9"/>
      <c r="D9" s="9"/>
      <c r="E9" s="9"/>
    </row>
    <row r="10" customFormat="false" ht="15" hidden="false" customHeight="true" outlineLevel="0" collapsed="false">
      <c r="A10" s="9"/>
      <c r="B10" s="9"/>
      <c r="C10" s="9"/>
      <c r="D10" s="9"/>
      <c r="E10" s="9"/>
    </row>
    <row r="11" customFormat="false" ht="15" hidden="false" customHeight="true" outlineLevel="0" collapsed="false">
      <c r="A11" s="9"/>
      <c r="B11" s="9"/>
      <c r="C11" s="9"/>
      <c r="D11" s="9"/>
      <c r="E11" s="9"/>
    </row>
    <row r="12" customFormat="false" ht="15" hidden="false" customHeight="true" outlineLevel="0" collapsed="false">
      <c r="A12" s="9"/>
      <c r="B12" s="9"/>
      <c r="C12" s="9"/>
      <c r="D12" s="9"/>
      <c r="E12" s="9"/>
    </row>
    <row r="13" customFormat="false" ht="15" hidden="false" customHeight="true" outlineLevel="0" collapsed="false">
      <c r="A13" s="9"/>
      <c r="B13" s="9"/>
      <c r="C13" s="9"/>
      <c r="D13" s="9"/>
      <c r="E13" s="9"/>
    </row>
    <row r="14" customFormat="false" ht="15" hidden="false" customHeight="true" outlineLevel="0" collapsed="false">
      <c r="A14" s="9"/>
      <c r="B14" s="9"/>
      <c r="C14" s="9"/>
      <c r="D14" s="9"/>
      <c r="E14" s="9"/>
    </row>
    <row r="15" customFormat="false" ht="15" hidden="false" customHeight="true" outlineLevel="0" collapsed="false">
      <c r="A15" s="9"/>
      <c r="B15" s="9"/>
      <c r="C15" s="9"/>
      <c r="D15" s="9"/>
      <c r="E15" s="9"/>
    </row>
    <row r="16" customFormat="false" ht="15" hidden="false" customHeight="true" outlineLevel="0" collapsed="false">
      <c r="A16" s="9"/>
      <c r="B16" s="9"/>
      <c r="C16" s="9"/>
      <c r="D16" s="9"/>
      <c r="E16" s="9"/>
    </row>
    <row r="17" customFormat="false" ht="15" hidden="false" customHeight="true" outlineLevel="0" collapsed="false">
      <c r="A17" s="9"/>
      <c r="B17" s="9"/>
      <c r="C17" s="9"/>
      <c r="D17" s="9"/>
      <c r="E17" s="9"/>
    </row>
    <row r="18" customFormat="false" ht="15" hidden="false" customHeight="true" outlineLevel="0" collapsed="false">
      <c r="A18" s="9"/>
      <c r="B18" s="9"/>
      <c r="C18" s="9"/>
      <c r="D18" s="9"/>
      <c r="E18" s="9"/>
    </row>
    <row r="19" customFormat="false" ht="15" hidden="false" customHeight="true" outlineLevel="0" collapsed="false">
      <c r="A19" s="9"/>
      <c r="B19" s="9"/>
      <c r="C19" s="9"/>
      <c r="D19" s="9"/>
      <c r="E19" s="9"/>
    </row>
    <row r="20" customFormat="false" ht="15" hidden="false" customHeight="true" outlineLevel="0" collapsed="false">
      <c r="A20" s="9"/>
      <c r="B20" s="9"/>
      <c r="C20" s="9"/>
      <c r="D20" s="9"/>
      <c r="E20" s="9"/>
    </row>
    <row r="21" customFormat="false" ht="15" hidden="false" customHeight="true" outlineLevel="0" collapsed="false">
      <c r="A21" s="9"/>
      <c r="B21" s="9"/>
      <c r="C21" s="9"/>
      <c r="D21" s="9"/>
      <c r="E21" s="9"/>
    </row>
    <row r="22" customFormat="false" ht="15" hidden="false" customHeight="true" outlineLevel="0" collapsed="false">
      <c r="A22" s="9"/>
      <c r="B22" s="9"/>
      <c r="C22" s="9"/>
      <c r="D22" s="9"/>
      <c r="E22" s="9"/>
    </row>
    <row r="23" customFormat="false" ht="15" hidden="false" customHeight="true" outlineLevel="0" collapsed="false">
      <c r="A23" s="9"/>
      <c r="B23" s="9"/>
      <c r="C23" s="9"/>
      <c r="D23" s="9"/>
      <c r="E23" s="9"/>
    </row>
    <row r="24" customFormat="false" ht="15" hidden="false" customHeight="true" outlineLevel="0" collapsed="false">
      <c r="A24" s="9"/>
      <c r="B24" s="9"/>
      <c r="C24" s="9"/>
      <c r="D24" s="9"/>
      <c r="E24" s="9"/>
    </row>
    <row r="25" customFormat="false" ht="15" hidden="false" customHeight="true" outlineLevel="0" collapsed="false">
      <c r="A25" s="9"/>
      <c r="B25" s="9"/>
      <c r="C25" s="9"/>
      <c r="D25" s="9"/>
      <c r="E25" s="9"/>
    </row>
    <row r="26" customFormat="false" ht="15" hidden="false" customHeight="true" outlineLevel="0" collapsed="false">
      <c r="A26" s="9"/>
      <c r="B26" s="9"/>
      <c r="C26" s="9"/>
      <c r="D26" s="9"/>
      <c r="E26" s="9"/>
    </row>
    <row r="27" customFormat="false" ht="15" hidden="false" customHeight="true" outlineLevel="0" collapsed="false">
      <c r="A27" s="9"/>
      <c r="B27" s="9"/>
      <c r="C27" s="9"/>
      <c r="D27" s="9"/>
      <c r="E27" s="9"/>
    </row>
    <row r="28" customFormat="false" ht="15" hidden="false" customHeight="true" outlineLevel="0" collapsed="false">
      <c r="A28" s="9"/>
      <c r="B28" s="9"/>
      <c r="C28" s="9"/>
      <c r="D28" s="9"/>
      <c r="E28" s="9"/>
    </row>
    <row r="29" customFormat="false" ht="15" hidden="false" customHeight="true" outlineLevel="0" collapsed="false">
      <c r="A29" s="9"/>
      <c r="B29" s="9"/>
      <c r="C29" s="9"/>
      <c r="D29" s="9"/>
      <c r="E29" s="9"/>
    </row>
    <row r="30" customFormat="false" ht="15" hidden="false" customHeight="true" outlineLevel="0" collapsed="false">
      <c r="A30" s="9"/>
      <c r="B30" s="9"/>
      <c r="C30" s="9"/>
      <c r="D30" s="9"/>
      <c r="E30" s="9"/>
    </row>
    <row r="31" customFormat="false" ht="15" hidden="false" customHeight="true" outlineLevel="0" collapsed="false">
      <c r="A31" s="9"/>
      <c r="B31" s="9"/>
      <c r="C31" s="9"/>
      <c r="D31" s="9"/>
      <c r="E31" s="9"/>
    </row>
    <row r="32" customFormat="false" ht="15" hidden="false" customHeight="true" outlineLevel="0" collapsed="false">
      <c r="A32" s="9"/>
      <c r="B32" s="9"/>
      <c r="C32" s="9"/>
      <c r="D32" s="9"/>
      <c r="E32" s="9"/>
    </row>
    <row r="33" customFormat="false" ht="15" hidden="false" customHeight="true" outlineLevel="0" collapsed="false">
      <c r="A33" s="9"/>
      <c r="B33" s="9"/>
      <c r="C33" s="9"/>
      <c r="D33" s="9"/>
      <c r="E33" s="9"/>
    </row>
    <row r="34" customFormat="false" ht="15" hidden="false" customHeight="true" outlineLevel="0" collapsed="false">
      <c r="A34" s="9"/>
      <c r="B34" s="9"/>
      <c r="C34" s="9"/>
      <c r="D34" s="9"/>
      <c r="E34" s="9"/>
    </row>
    <row r="35" customFormat="false" ht="15" hidden="false" customHeight="true" outlineLevel="0" collapsed="false">
      <c r="A35" s="9"/>
      <c r="B35" s="9"/>
      <c r="C35" s="9"/>
      <c r="D35" s="9"/>
      <c r="E35" s="9"/>
    </row>
    <row r="36" customFormat="false" ht="15" hidden="false" customHeight="true" outlineLevel="0" collapsed="false">
      <c r="A36" s="9"/>
      <c r="B36" s="9"/>
      <c r="C36" s="9"/>
      <c r="D36" s="9"/>
      <c r="E36" s="9"/>
    </row>
    <row r="37" customFormat="false" ht="15" hidden="false" customHeight="true" outlineLevel="0" collapsed="false">
      <c r="A37" s="9"/>
      <c r="B37" s="9"/>
      <c r="C37" s="9"/>
      <c r="D37" s="9"/>
      <c r="E37" s="9"/>
    </row>
    <row r="38" customFormat="false" ht="15" hidden="false" customHeight="true" outlineLevel="0" collapsed="false">
      <c r="A38" s="9"/>
      <c r="B38" s="9"/>
      <c r="C38" s="9"/>
      <c r="D38" s="9"/>
      <c r="E38" s="9"/>
    </row>
    <row r="39" customFormat="false" ht="15" hidden="false" customHeight="true" outlineLevel="0" collapsed="false">
      <c r="A39" s="9"/>
      <c r="B39" s="9"/>
      <c r="C39" s="9"/>
      <c r="D39" s="9"/>
      <c r="E39" s="9"/>
    </row>
    <row r="40" customFormat="false" ht="15" hidden="false" customHeight="true" outlineLevel="0" collapsed="false">
      <c r="A40" s="9"/>
      <c r="B40" s="9"/>
      <c r="C40" s="9"/>
      <c r="D40" s="9"/>
      <c r="E40" s="9"/>
    </row>
    <row r="41" customFormat="false" ht="15" hidden="false" customHeight="true" outlineLevel="0" collapsed="false">
      <c r="A41" s="9"/>
      <c r="B41" s="9"/>
      <c r="C41" s="9"/>
      <c r="D41" s="9"/>
      <c r="E41" s="9"/>
    </row>
    <row r="42" customFormat="false" ht="15" hidden="false" customHeight="true" outlineLevel="0" collapsed="false">
      <c r="A42" s="9"/>
      <c r="B42" s="9"/>
      <c r="C42" s="9"/>
      <c r="D42" s="9"/>
      <c r="E42" s="9"/>
    </row>
    <row r="43" customFormat="false" ht="15" hidden="false" customHeight="true" outlineLevel="0" collapsed="false">
      <c r="A43" s="9"/>
      <c r="B43" s="9"/>
      <c r="C43" s="9"/>
      <c r="D43" s="9"/>
      <c r="E43" s="9"/>
    </row>
    <row r="44" customFormat="false" ht="15" hidden="false" customHeight="true" outlineLevel="0" collapsed="false">
      <c r="A44" s="9"/>
      <c r="B44" s="9"/>
      <c r="C44" s="9"/>
      <c r="D44" s="9"/>
      <c r="E44" s="9"/>
    </row>
    <row r="45" customFormat="false" ht="15" hidden="false" customHeight="true" outlineLevel="0" collapsed="false">
      <c r="A45" s="9"/>
      <c r="B45" s="9"/>
      <c r="C45" s="9"/>
      <c r="D45" s="9"/>
      <c r="E45" s="9"/>
    </row>
    <row r="46" customFormat="false" ht="15" hidden="false" customHeight="true" outlineLevel="0" collapsed="false">
      <c r="A46" s="9"/>
      <c r="B46" s="9"/>
      <c r="C46" s="9"/>
      <c r="D46" s="9"/>
      <c r="E46" s="9"/>
    </row>
    <row r="47" customFormat="false" ht="15" hidden="false" customHeight="true" outlineLevel="0" collapsed="false">
      <c r="A47" s="9"/>
      <c r="B47" s="9"/>
      <c r="C47" s="9"/>
      <c r="D47" s="9"/>
      <c r="E47" s="9"/>
    </row>
    <row r="48" customFormat="false" ht="15" hidden="false" customHeight="true" outlineLevel="0" collapsed="false">
      <c r="A48" s="9"/>
      <c r="B48" s="9"/>
      <c r="C48" s="9"/>
      <c r="D48" s="9"/>
      <c r="E48" s="9"/>
    </row>
    <row r="49" customFormat="false" ht="15" hidden="false" customHeight="true" outlineLevel="0" collapsed="false">
      <c r="A49" s="9"/>
      <c r="B49" s="9"/>
      <c r="C49" s="9"/>
      <c r="D49" s="9"/>
      <c r="E49" s="9"/>
    </row>
    <row r="50" customFormat="false" ht="15" hidden="false" customHeight="true" outlineLevel="0" collapsed="false">
      <c r="A50" s="9"/>
      <c r="B50" s="9"/>
      <c r="C50" s="9"/>
      <c r="D50" s="9"/>
      <c r="E50" s="9"/>
    </row>
    <row r="51" customFormat="false" ht="15" hidden="false" customHeight="true" outlineLevel="0" collapsed="false">
      <c r="A51" s="9"/>
      <c r="B51" s="9"/>
      <c r="C51" s="9"/>
      <c r="D51" s="9"/>
      <c r="E51" s="9"/>
    </row>
    <row r="52" customFormat="false" ht="15" hidden="false" customHeight="true" outlineLevel="0" collapsed="false">
      <c r="A52" s="9"/>
      <c r="B52" s="9"/>
      <c r="C52" s="9"/>
      <c r="D52" s="9"/>
      <c r="E52" s="9"/>
    </row>
    <row r="53" customFormat="false" ht="15" hidden="false" customHeight="true" outlineLevel="0" collapsed="false">
      <c r="A53" s="9"/>
      <c r="B53" s="9"/>
      <c r="C53" s="9"/>
      <c r="D53" s="9"/>
      <c r="E53" s="9"/>
    </row>
    <row r="54" customFormat="false" ht="15" hidden="false" customHeight="true" outlineLevel="0" collapsed="false">
      <c r="A54" s="9"/>
      <c r="B54" s="9"/>
      <c r="C54" s="9"/>
      <c r="D54" s="9"/>
      <c r="E54" s="9"/>
    </row>
    <row r="55" customFormat="false" ht="15" hidden="false" customHeight="true" outlineLevel="0" collapsed="false">
      <c r="A55" s="9"/>
      <c r="B55" s="9"/>
      <c r="C55" s="9"/>
      <c r="D55" s="9"/>
      <c r="E55" s="9"/>
    </row>
    <row r="56" customFormat="false" ht="15" hidden="false" customHeight="true" outlineLevel="0" collapsed="false">
      <c r="A56" s="9"/>
      <c r="B56" s="9"/>
      <c r="C56" s="9"/>
      <c r="D56" s="9"/>
      <c r="E56" s="9"/>
    </row>
    <row r="57" customFormat="false" ht="15" hidden="false" customHeight="true" outlineLevel="0" collapsed="false">
      <c r="A57" s="9"/>
      <c r="B57" s="9"/>
      <c r="C57" s="9"/>
      <c r="D57" s="9"/>
      <c r="E57" s="9"/>
    </row>
    <row r="58" customFormat="false" ht="15" hidden="false" customHeight="true" outlineLevel="0" collapsed="false">
      <c r="A58" s="9"/>
      <c r="B58" s="9"/>
      <c r="C58" s="9"/>
      <c r="D58" s="9"/>
      <c r="E58" s="9"/>
    </row>
    <row r="59" customFormat="false" ht="15" hidden="false" customHeight="true" outlineLevel="0" collapsed="false">
      <c r="A59" s="9"/>
      <c r="B59" s="9"/>
      <c r="C59" s="9"/>
      <c r="D59" s="9"/>
      <c r="E59" s="9"/>
    </row>
    <row r="60" customFormat="false" ht="15" hidden="false" customHeight="true" outlineLevel="0" collapsed="false">
      <c r="A60" s="9"/>
      <c r="B60" s="9"/>
      <c r="C60" s="9"/>
      <c r="D60" s="9"/>
      <c r="E60" s="9"/>
    </row>
    <row r="61" customFormat="false" ht="15" hidden="false" customHeight="true" outlineLevel="0" collapsed="false">
      <c r="A61" s="9"/>
      <c r="B61" s="9"/>
      <c r="C61" s="9"/>
      <c r="D61" s="9"/>
      <c r="E61" s="9"/>
    </row>
    <row r="62" customFormat="false" ht="15" hidden="false" customHeight="true" outlineLevel="0" collapsed="false">
      <c r="A62" s="9"/>
      <c r="B62" s="9"/>
      <c r="C62" s="9"/>
      <c r="D62" s="9"/>
      <c r="E62" s="9"/>
    </row>
    <row r="63" customFormat="false" ht="15" hidden="false" customHeight="true" outlineLevel="0" collapsed="false">
      <c r="A63" s="9"/>
      <c r="B63" s="9"/>
      <c r="C63" s="9"/>
      <c r="D63" s="9"/>
      <c r="E63" s="9"/>
    </row>
    <row r="64" customFormat="false" ht="15" hidden="false" customHeight="true" outlineLevel="0" collapsed="false">
      <c r="A64" s="9"/>
      <c r="B64" s="9"/>
      <c r="C64" s="9"/>
      <c r="D64" s="9"/>
      <c r="E64" s="9"/>
    </row>
    <row r="65" customFormat="false" ht="15" hidden="false" customHeight="true" outlineLevel="0" collapsed="false">
      <c r="A65" s="9"/>
      <c r="B65" s="9"/>
      <c r="C65" s="9"/>
      <c r="D65" s="9"/>
      <c r="E65" s="9"/>
    </row>
    <row r="66" customFormat="false" ht="15" hidden="false" customHeight="true" outlineLevel="0" collapsed="false">
      <c r="A66" s="9"/>
      <c r="B66" s="9"/>
      <c r="C66" s="9"/>
      <c r="D66" s="9"/>
      <c r="E66" s="9"/>
    </row>
    <row r="67" customFormat="false" ht="15" hidden="false" customHeight="true" outlineLevel="0" collapsed="false">
      <c r="A67" s="9"/>
      <c r="B67" s="9"/>
      <c r="C67" s="9"/>
      <c r="D67" s="9"/>
      <c r="E67" s="9"/>
    </row>
    <row r="68" customFormat="false" ht="15" hidden="false" customHeight="true" outlineLevel="0" collapsed="false">
      <c r="A68" s="9"/>
      <c r="B68" s="9"/>
      <c r="C68" s="9"/>
      <c r="D68" s="9"/>
      <c r="E68" s="9"/>
    </row>
    <row r="69" customFormat="false" ht="15" hidden="false" customHeight="true" outlineLevel="0" collapsed="false">
      <c r="A69" s="9"/>
      <c r="B69" s="9"/>
      <c r="C69" s="9"/>
      <c r="D69" s="9"/>
      <c r="E69" s="9"/>
    </row>
    <row r="70" customFormat="false" ht="15" hidden="false" customHeight="true" outlineLevel="0" collapsed="false">
      <c r="A70" s="9"/>
      <c r="B70" s="9"/>
      <c r="C70" s="9"/>
      <c r="D70" s="9"/>
      <c r="E70" s="9"/>
    </row>
    <row r="71" customFormat="false" ht="15" hidden="false" customHeight="true" outlineLevel="0" collapsed="false">
      <c r="A71" s="9"/>
      <c r="B71" s="9"/>
      <c r="C71" s="9"/>
      <c r="D71" s="9"/>
      <c r="E71" s="9"/>
    </row>
    <row r="72" customFormat="false" ht="15" hidden="false" customHeight="true" outlineLevel="0" collapsed="false">
      <c r="A72" s="9"/>
      <c r="B72" s="9"/>
      <c r="C72" s="9"/>
      <c r="D72" s="9"/>
      <c r="E72" s="9"/>
    </row>
    <row r="73" customFormat="false" ht="15" hidden="false" customHeight="true" outlineLevel="0" collapsed="false">
      <c r="A73" s="9"/>
      <c r="B73" s="9"/>
      <c r="C73" s="9"/>
      <c r="D73" s="9"/>
      <c r="E73" s="9"/>
    </row>
    <row r="74" customFormat="false" ht="15" hidden="false" customHeight="true" outlineLevel="0" collapsed="false">
      <c r="A74" s="9"/>
      <c r="B74" s="9"/>
      <c r="C74" s="9"/>
      <c r="D74" s="9"/>
      <c r="E74" s="9"/>
    </row>
    <row r="75" customFormat="false" ht="15" hidden="false" customHeight="true" outlineLevel="0" collapsed="false">
      <c r="A75" s="9"/>
      <c r="B75" s="9"/>
      <c r="C75" s="9"/>
      <c r="D75" s="9"/>
      <c r="E75" s="9"/>
    </row>
    <row r="76" customFormat="false" ht="15" hidden="false" customHeight="true" outlineLevel="0" collapsed="false">
      <c r="A76" s="9"/>
      <c r="B76" s="9"/>
      <c r="C76" s="9"/>
      <c r="D76" s="9"/>
      <c r="E76" s="9"/>
    </row>
    <row r="77" customFormat="false" ht="15" hidden="false" customHeight="true" outlineLevel="0" collapsed="false">
      <c r="A77" s="9"/>
      <c r="B77" s="9"/>
      <c r="C77" s="9"/>
      <c r="D77" s="9"/>
      <c r="E77" s="9"/>
    </row>
    <row r="78" customFormat="false" ht="15" hidden="false" customHeight="true" outlineLevel="0" collapsed="false">
      <c r="A78" s="9"/>
      <c r="B78" s="9"/>
      <c r="C78" s="9"/>
      <c r="D78" s="9"/>
      <c r="E78" s="9"/>
    </row>
    <row r="79" customFormat="false" ht="15" hidden="false" customHeight="true" outlineLevel="0" collapsed="false">
      <c r="A79" s="9"/>
      <c r="B79" s="9"/>
      <c r="C79" s="9"/>
      <c r="D79" s="9"/>
      <c r="E79" s="9"/>
    </row>
    <row r="80" customFormat="false" ht="15" hidden="false" customHeight="true" outlineLevel="0" collapsed="false">
      <c r="A80" s="9"/>
      <c r="B80" s="9"/>
      <c r="C80" s="9"/>
      <c r="D80" s="9"/>
      <c r="E80" s="9"/>
    </row>
    <row r="81" customFormat="false" ht="15" hidden="false" customHeight="true" outlineLevel="0" collapsed="false">
      <c r="A81" s="9"/>
      <c r="B81" s="9"/>
      <c r="C81" s="9"/>
      <c r="D81" s="9"/>
      <c r="E81" s="9"/>
    </row>
    <row r="82" customFormat="false" ht="15" hidden="false" customHeight="true" outlineLevel="0" collapsed="false">
      <c r="A82" s="9"/>
      <c r="B82" s="9"/>
      <c r="C82" s="9"/>
      <c r="D82" s="9"/>
      <c r="E82" s="9"/>
    </row>
    <row r="83" customFormat="false" ht="15" hidden="false" customHeight="true" outlineLevel="0" collapsed="false">
      <c r="A83" s="9"/>
      <c r="B83" s="9"/>
      <c r="C83" s="9"/>
      <c r="D83" s="9"/>
      <c r="E83" s="9"/>
    </row>
    <row r="84" customFormat="false" ht="15" hidden="false" customHeight="true" outlineLevel="0" collapsed="false">
      <c r="A84" s="9"/>
      <c r="B84" s="9"/>
      <c r="C84" s="9"/>
      <c r="D84" s="9"/>
      <c r="E84" s="9"/>
    </row>
    <row r="85" customFormat="false" ht="15" hidden="false" customHeight="true" outlineLevel="0" collapsed="false">
      <c r="A85" s="9"/>
      <c r="B85" s="9"/>
      <c r="C85" s="9"/>
      <c r="D85" s="9"/>
      <c r="E85" s="9"/>
    </row>
    <row r="86" customFormat="false" ht="15" hidden="false" customHeight="true" outlineLevel="0" collapsed="false">
      <c r="A86" s="9"/>
      <c r="B86" s="9"/>
      <c r="C86" s="9"/>
      <c r="D86" s="9"/>
      <c r="E86" s="9"/>
    </row>
    <row r="87" customFormat="false" ht="15" hidden="false" customHeight="true" outlineLevel="0" collapsed="false">
      <c r="A87" s="9"/>
      <c r="B87" s="9"/>
      <c r="C87" s="9"/>
      <c r="D87" s="9"/>
      <c r="E87" s="9"/>
    </row>
    <row r="88" customFormat="false" ht="15" hidden="false" customHeight="true" outlineLevel="0" collapsed="false">
      <c r="A88" s="9"/>
      <c r="B88" s="9"/>
      <c r="C88" s="9"/>
      <c r="D88" s="9"/>
      <c r="E88" s="9"/>
    </row>
    <row r="89" customFormat="false" ht="15" hidden="false" customHeight="true" outlineLevel="0" collapsed="false">
      <c r="A89" s="9"/>
      <c r="B89" s="9"/>
      <c r="C89" s="9"/>
      <c r="D89" s="9"/>
      <c r="E89" s="9"/>
    </row>
    <row r="90" customFormat="false" ht="15" hidden="false" customHeight="true" outlineLevel="0" collapsed="false">
      <c r="A90" s="9"/>
      <c r="B90" s="9"/>
      <c r="C90" s="9"/>
      <c r="D90" s="9"/>
      <c r="E90" s="9"/>
    </row>
    <row r="91" customFormat="false" ht="15" hidden="false" customHeight="true" outlineLevel="0" collapsed="false">
      <c r="A91" s="9"/>
      <c r="B91" s="9"/>
      <c r="C91" s="9"/>
      <c r="D91" s="9"/>
      <c r="E91" s="9"/>
    </row>
    <row r="92" customFormat="false" ht="15" hidden="false" customHeight="true" outlineLevel="0" collapsed="false">
      <c r="A92" s="9"/>
      <c r="B92" s="9"/>
      <c r="C92" s="9"/>
      <c r="D92" s="9"/>
      <c r="E92" s="9"/>
    </row>
    <row r="93" customFormat="false" ht="15" hidden="false" customHeight="true" outlineLevel="0" collapsed="false">
      <c r="A93" s="9"/>
      <c r="B93" s="9"/>
      <c r="C93" s="9"/>
      <c r="D93" s="9"/>
      <c r="E93" s="9"/>
    </row>
    <row r="94" customFormat="false" ht="15" hidden="false" customHeight="true" outlineLevel="0" collapsed="false">
      <c r="A94" s="9"/>
      <c r="B94" s="9"/>
      <c r="C94" s="9"/>
      <c r="D94" s="9"/>
      <c r="E94" s="9"/>
    </row>
    <row r="95" customFormat="false" ht="15" hidden="false" customHeight="true" outlineLevel="0" collapsed="false">
      <c r="A95" s="9"/>
      <c r="B95" s="9"/>
      <c r="C95" s="9"/>
      <c r="D95" s="9"/>
      <c r="E95" s="9"/>
    </row>
    <row r="96" customFormat="false" ht="15" hidden="false" customHeight="true" outlineLevel="0" collapsed="false">
      <c r="A96" s="9"/>
      <c r="B96" s="9"/>
      <c r="C96" s="9"/>
      <c r="D96" s="9"/>
      <c r="E96" s="9"/>
    </row>
    <row r="97" customFormat="false" ht="15" hidden="false" customHeight="true" outlineLevel="0" collapsed="false">
      <c r="A97" s="9"/>
      <c r="B97" s="9"/>
      <c r="C97" s="9"/>
      <c r="D97" s="9"/>
      <c r="E97" s="9"/>
    </row>
    <row r="98" customFormat="false" ht="15" hidden="false" customHeight="true" outlineLevel="0" collapsed="false">
      <c r="A98" s="9"/>
      <c r="B98" s="9"/>
      <c r="C98" s="9"/>
      <c r="D98" s="9"/>
      <c r="E98" s="9"/>
    </row>
    <row r="99" customFormat="false" ht="15" hidden="false" customHeight="true" outlineLevel="0" collapsed="false">
      <c r="A99" s="9"/>
      <c r="B99" s="9"/>
      <c r="C99" s="9"/>
      <c r="D99" s="9"/>
      <c r="E99" s="9"/>
    </row>
    <row r="100" customFormat="false" ht="15" hidden="false" customHeight="true" outlineLevel="0" collapsed="false">
      <c r="A100" s="9"/>
      <c r="B100" s="9"/>
      <c r="C100" s="9"/>
      <c r="D100" s="9"/>
      <c r="E100" s="9"/>
    </row>
    <row r="101" customFormat="false" ht="15" hidden="false" customHeight="true" outlineLevel="0" collapsed="false">
      <c r="A101" s="9"/>
      <c r="B101" s="9"/>
      <c r="C101" s="9"/>
      <c r="D101" s="9"/>
      <c r="E101" s="9"/>
    </row>
    <row r="102" customFormat="false" ht="15" hidden="false" customHeight="true" outlineLevel="0" collapsed="false">
      <c r="A102" s="9"/>
      <c r="B102" s="9"/>
      <c r="C102" s="9"/>
      <c r="D102" s="9"/>
      <c r="E102" s="9"/>
    </row>
    <row r="103" customFormat="false" ht="15" hidden="false" customHeight="true" outlineLevel="0" collapsed="false">
      <c r="A103" s="9"/>
      <c r="B103" s="9"/>
      <c r="C103" s="9"/>
      <c r="D103" s="9"/>
      <c r="E103" s="9"/>
    </row>
    <row r="104" customFormat="false" ht="15" hidden="false" customHeight="true" outlineLevel="0" collapsed="false">
      <c r="A104" s="9"/>
      <c r="B104" s="9"/>
      <c r="C104" s="9"/>
      <c r="D104" s="9"/>
      <c r="E104" s="9"/>
    </row>
    <row r="105" customFormat="false" ht="15" hidden="false" customHeight="true" outlineLevel="0" collapsed="false">
      <c r="A105" s="9"/>
      <c r="B105" s="9"/>
      <c r="C105" s="9"/>
      <c r="D105" s="9"/>
      <c r="E105" s="9"/>
    </row>
    <row r="106" customFormat="false" ht="15" hidden="false" customHeight="true" outlineLevel="0" collapsed="false">
      <c r="A106" s="9"/>
      <c r="B106" s="9"/>
      <c r="C106" s="9"/>
      <c r="D106" s="9"/>
      <c r="E106" s="9"/>
    </row>
    <row r="107" customFormat="false" ht="15" hidden="false" customHeight="true" outlineLevel="0" collapsed="false">
      <c r="A107" s="9"/>
      <c r="B107" s="9"/>
      <c r="C107" s="9"/>
      <c r="D107" s="9"/>
      <c r="E107" s="9"/>
    </row>
    <row r="108" customFormat="false" ht="15" hidden="false" customHeight="true" outlineLevel="0" collapsed="false">
      <c r="A108" s="9"/>
      <c r="B108" s="9"/>
      <c r="C108" s="9"/>
      <c r="D108" s="9"/>
      <c r="E108" s="9"/>
    </row>
    <row r="109" customFormat="false" ht="15" hidden="false" customHeight="true" outlineLevel="0" collapsed="false">
      <c r="A109" s="9"/>
      <c r="B109" s="9"/>
      <c r="C109" s="9"/>
      <c r="D109" s="9"/>
      <c r="E109" s="9"/>
    </row>
    <row r="110" customFormat="false" ht="15" hidden="false" customHeight="true" outlineLevel="0" collapsed="false">
      <c r="A110" s="9"/>
      <c r="B110" s="9"/>
      <c r="C110" s="9"/>
      <c r="D110" s="9"/>
      <c r="E110" s="9"/>
    </row>
    <row r="111" customFormat="false" ht="15" hidden="false" customHeight="true" outlineLevel="0" collapsed="false">
      <c r="A111" s="9"/>
      <c r="B111" s="9"/>
      <c r="C111" s="9"/>
      <c r="D111" s="9"/>
      <c r="E111" s="9"/>
    </row>
    <row r="112" customFormat="false" ht="15" hidden="false" customHeight="true" outlineLevel="0" collapsed="false">
      <c r="A112" s="9"/>
      <c r="B112" s="9"/>
      <c r="C112" s="9"/>
      <c r="D112" s="9"/>
      <c r="E112" s="9"/>
    </row>
    <row r="113" customFormat="false" ht="15" hidden="false" customHeight="true" outlineLevel="0" collapsed="false">
      <c r="A113" s="9"/>
      <c r="B113" s="9"/>
      <c r="C113" s="9"/>
      <c r="D113" s="9"/>
      <c r="E113" s="9"/>
    </row>
    <row r="114" customFormat="false" ht="15" hidden="false" customHeight="true" outlineLevel="0" collapsed="false">
      <c r="A114" s="9"/>
      <c r="B114" s="9"/>
      <c r="C114" s="9"/>
      <c r="D114" s="9"/>
      <c r="E114" s="9"/>
    </row>
    <row r="115" customFormat="false" ht="15" hidden="false" customHeight="true" outlineLevel="0" collapsed="false">
      <c r="A115" s="9"/>
      <c r="B115" s="9"/>
      <c r="C115" s="9"/>
      <c r="D115" s="9"/>
      <c r="E115" s="9"/>
    </row>
    <row r="116" customFormat="false" ht="15" hidden="false" customHeight="true" outlineLevel="0" collapsed="false">
      <c r="A116" s="9"/>
      <c r="B116" s="9"/>
      <c r="C116" s="9"/>
      <c r="D116" s="9"/>
      <c r="E116" s="9"/>
    </row>
    <row r="117" customFormat="false" ht="15" hidden="false" customHeight="true" outlineLevel="0" collapsed="false">
      <c r="A117" s="9"/>
      <c r="B117" s="9"/>
      <c r="C117" s="9"/>
      <c r="D117" s="9"/>
      <c r="E117" s="9"/>
    </row>
    <row r="118" customFormat="false" ht="15" hidden="false" customHeight="true" outlineLevel="0" collapsed="false">
      <c r="A118" s="9"/>
      <c r="B118" s="9"/>
      <c r="C118" s="9"/>
      <c r="D118" s="9"/>
      <c r="E118" s="9"/>
    </row>
    <row r="119" customFormat="false" ht="15" hidden="false" customHeight="true" outlineLevel="0" collapsed="false">
      <c r="A119" s="9"/>
      <c r="B119" s="9"/>
      <c r="C119" s="9"/>
      <c r="D119" s="9"/>
      <c r="E119" s="9"/>
    </row>
    <row r="120" customFormat="false" ht="15" hidden="false" customHeight="true" outlineLevel="0" collapsed="false">
      <c r="A120" s="9"/>
      <c r="B120" s="9"/>
      <c r="C120" s="9"/>
      <c r="D120" s="9"/>
      <c r="E120" s="9"/>
    </row>
    <row r="121" customFormat="false" ht="15" hidden="false" customHeight="true" outlineLevel="0" collapsed="false">
      <c r="A121" s="9"/>
      <c r="B121" s="9"/>
      <c r="C121" s="9"/>
      <c r="D121" s="9"/>
      <c r="E121" s="9"/>
    </row>
    <row r="122" customFormat="false" ht="15" hidden="false" customHeight="true" outlineLevel="0" collapsed="false">
      <c r="A122" s="9"/>
      <c r="B122" s="9"/>
      <c r="C122" s="9"/>
      <c r="D122" s="9"/>
      <c r="E122" s="9"/>
    </row>
    <row r="123" customFormat="false" ht="15" hidden="false" customHeight="true" outlineLevel="0" collapsed="false">
      <c r="A123" s="9"/>
      <c r="B123" s="9"/>
      <c r="C123" s="9"/>
      <c r="D123" s="9"/>
      <c r="E123" s="9"/>
    </row>
    <row r="124" customFormat="false" ht="15" hidden="false" customHeight="true" outlineLevel="0" collapsed="false">
      <c r="A124" s="9"/>
      <c r="B124" s="9"/>
      <c r="C124" s="9"/>
      <c r="D124" s="9"/>
      <c r="E124" s="9"/>
    </row>
    <row r="125" customFormat="false" ht="15" hidden="false" customHeight="true" outlineLevel="0" collapsed="false">
      <c r="A125" s="9"/>
      <c r="B125" s="9"/>
      <c r="C125" s="9"/>
      <c r="D125" s="9"/>
      <c r="E125" s="9"/>
    </row>
    <row r="126" customFormat="false" ht="15" hidden="false" customHeight="true" outlineLevel="0" collapsed="false">
      <c r="A126" s="9"/>
      <c r="B126" s="9"/>
      <c r="C126" s="9"/>
      <c r="D126" s="9"/>
      <c r="E126" s="9"/>
    </row>
    <row r="127" customFormat="false" ht="15" hidden="false" customHeight="true" outlineLevel="0" collapsed="false">
      <c r="A127" s="9"/>
      <c r="B127" s="9"/>
      <c r="C127" s="9"/>
      <c r="D127" s="9"/>
      <c r="E127" s="9"/>
    </row>
    <row r="128" customFormat="false" ht="15" hidden="false" customHeight="true" outlineLevel="0" collapsed="false">
      <c r="A128" s="9"/>
      <c r="B128" s="9"/>
      <c r="C128" s="9"/>
      <c r="D128" s="9"/>
      <c r="E128" s="9"/>
    </row>
    <row r="129" customFormat="false" ht="15" hidden="false" customHeight="true" outlineLevel="0" collapsed="false">
      <c r="A129" s="9"/>
      <c r="B129" s="9"/>
      <c r="C129" s="9"/>
      <c r="D129" s="9"/>
      <c r="E129" s="9"/>
    </row>
    <row r="130" customFormat="false" ht="15" hidden="false" customHeight="true" outlineLevel="0" collapsed="false">
      <c r="A130" s="9"/>
      <c r="B130" s="9"/>
      <c r="C130" s="9"/>
      <c r="D130" s="9"/>
      <c r="E130" s="9"/>
    </row>
    <row r="131" customFormat="false" ht="15" hidden="false" customHeight="true" outlineLevel="0" collapsed="false">
      <c r="A131" s="9"/>
      <c r="B131" s="9"/>
      <c r="C131" s="9"/>
      <c r="D131" s="9"/>
      <c r="E131" s="9"/>
    </row>
    <row r="132" customFormat="false" ht="15" hidden="false" customHeight="true" outlineLevel="0" collapsed="false">
      <c r="A132" s="9"/>
      <c r="B132" s="9"/>
      <c r="C132" s="9"/>
      <c r="D132" s="9"/>
      <c r="E132" s="9"/>
    </row>
    <row r="133" customFormat="false" ht="15" hidden="false" customHeight="true" outlineLevel="0" collapsed="false">
      <c r="A133" s="9"/>
      <c r="B133" s="9"/>
      <c r="C133" s="9"/>
      <c r="D133" s="9"/>
      <c r="E133" s="9"/>
    </row>
    <row r="134" customFormat="false" ht="15" hidden="false" customHeight="true" outlineLevel="0" collapsed="false">
      <c r="A134" s="9"/>
      <c r="B134" s="9"/>
      <c r="C134" s="9"/>
      <c r="D134" s="9"/>
      <c r="E134" s="9"/>
    </row>
    <row r="135" customFormat="false" ht="15" hidden="false" customHeight="true" outlineLevel="0" collapsed="false">
      <c r="A135" s="9"/>
      <c r="B135" s="9"/>
      <c r="C135" s="9"/>
      <c r="D135" s="9"/>
      <c r="E135" s="9"/>
    </row>
    <row r="136" customFormat="false" ht="15" hidden="false" customHeight="true" outlineLevel="0" collapsed="false">
      <c r="A136" s="9"/>
      <c r="B136" s="9"/>
      <c r="C136" s="9"/>
      <c r="D136" s="9"/>
      <c r="E136" s="9"/>
    </row>
    <row r="137" customFormat="false" ht="15" hidden="false" customHeight="true" outlineLevel="0" collapsed="false">
      <c r="A137" s="9"/>
      <c r="B137" s="9"/>
      <c r="C137" s="9"/>
      <c r="D137" s="9"/>
      <c r="E137" s="9"/>
    </row>
    <row r="138" customFormat="false" ht="15" hidden="false" customHeight="true" outlineLevel="0" collapsed="false">
      <c r="A138" s="9"/>
      <c r="B138" s="9"/>
      <c r="C138" s="9"/>
      <c r="D138" s="9"/>
      <c r="E138" s="9"/>
    </row>
    <row r="139" customFormat="false" ht="15" hidden="false" customHeight="true" outlineLevel="0" collapsed="false">
      <c r="A139" s="9"/>
      <c r="B139" s="9"/>
      <c r="C139" s="9"/>
      <c r="D139" s="9"/>
      <c r="E139" s="9"/>
    </row>
    <row r="140" customFormat="false" ht="15" hidden="false" customHeight="true" outlineLevel="0" collapsed="false">
      <c r="A140" s="9"/>
      <c r="B140" s="9"/>
      <c r="C140" s="9"/>
      <c r="D140" s="9"/>
      <c r="E140" s="9"/>
    </row>
    <row r="141" customFormat="false" ht="15" hidden="false" customHeight="true" outlineLevel="0" collapsed="false">
      <c r="A141" s="9"/>
      <c r="B141" s="9"/>
      <c r="C141" s="9"/>
      <c r="D141" s="9"/>
      <c r="E141" s="9"/>
    </row>
    <row r="142" customFormat="false" ht="15" hidden="false" customHeight="true" outlineLevel="0" collapsed="false">
      <c r="A142" s="9"/>
      <c r="B142" s="9"/>
      <c r="C142" s="9"/>
      <c r="D142" s="9"/>
      <c r="E142" s="9"/>
    </row>
    <row r="143" customFormat="false" ht="15" hidden="false" customHeight="true" outlineLevel="0" collapsed="false">
      <c r="A143" s="9"/>
      <c r="B143" s="9"/>
      <c r="C143" s="9"/>
      <c r="D143" s="9"/>
      <c r="E143" s="9"/>
    </row>
    <row r="144" customFormat="false" ht="15" hidden="false" customHeight="true" outlineLevel="0" collapsed="false">
      <c r="A144" s="9"/>
      <c r="B144" s="9"/>
      <c r="C144" s="9"/>
      <c r="D144" s="9"/>
      <c r="E144" s="9"/>
    </row>
    <row r="145" customFormat="false" ht="15" hidden="false" customHeight="true" outlineLevel="0" collapsed="false">
      <c r="A145" s="9"/>
      <c r="B145" s="9"/>
      <c r="C145" s="9"/>
      <c r="D145" s="9"/>
      <c r="E145" s="9"/>
    </row>
    <row r="146" customFormat="false" ht="15" hidden="false" customHeight="true" outlineLevel="0" collapsed="false">
      <c r="A146" s="9"/>
      <c r="B146" s="9"/>
      <c r="C146" s="9"/>
      <c r="D146" s="9"/>
      <c r="E146" s="9"/>
    </row>
    <row r="147" customFormat="false" ht="15" hidden="false" customHeight="true" outlineLevel="0" collapsed="false">
      <c r="A147" s="9"/>
      <c r="B147" s="9"/>
      <c r="C147" s="9"/>
      <c r="D147" s="9"/>
      <c r="E147" s="9"/>
    </row>
    <row r="148" customFormat="false" ht="15" hidden="false" customHeight="true" outlineLevel="0" collapsed="false">
      <c r="A148" s="9"/>
      <c r="B148" s="9"/>
      <c r="C148" s="9"/>
      <c r="D148" s="9"/>
      <c r="E148" s="9"/>
    </row>
    <row r="149" customFormat="false" ht="15" hidden="false" customHeight="true" outlineLevel="0" collapsed="false">
      <c r="A149" s="9"/>
      <c r="B149" s="9"/>
      <c r="C149" s="9"/>
      <c r="D149" s="9"/>
      <c r="E149" s="9"/>
    </row>
    <row r="150" customFormat="false" ht="15" hidden="false" customHeight="true" outlineLevel="0" collapsed="false">
      <c r="A150" s="9"/>
      <c r="B150" s="9"/>
      <c r="C150" s="9"/>
      <c r="D150" s="9"/>
      <c r="E150" s="9"/>
    </row>
    <row r="151" customFormat="false" ht="15" hidden="false" customHeight="true" outlineLevel="0" collapsed="false">
      <c r="A151" s="9"/>
      <c r="B151" s="9"/>
      <c r="C151" s="9"/>
      <c r="D151" s="9"/>
      <c r="E151" s="9"/>
    </row>
    <row r="152" customFormat="false" ht="15" hidden="false" customHeight="true" outlineLevel="0" collapsed="false">
      <c r="A152" s="9"/>
      <c r="B152" s="9"/>
      <c r="C152" s="9"/>
      <c r="D152" s="9"/>
      <c r="E152" s="9"/>
    </row>
    <row r="153" customFormat="false" ht="15" hidden="false" customHeight="true" outlineLevel="0" collapsed="false">
      <c r="A153" s="9"/>
      <c r="B153" s="9"/>
      <c r="C153" s="9"/>
      <c r="D153" s="9"/>
      <c r="E153" s="9"/>
    </row>
    <row r="154" customFormat="false" ht="15" hidden="false" customHeight="true" outlineLevel="0" collapsed="false">
      <c r="A154" s="9"/>
      <c r="B154" s="9"/>
      <c r="C154" s="9"/>
      <c r="D154" s="9"/>
      <c r="E154" s="9"/>
    </row>
    <row r="155" customFormat="false" ht="15" hidden="false" customHeight="true" outlineLevel="0" collapsed="false">
      <c r="A155" s="9"/>
      <c r="B155" s="9"/>
      <c r="C155" s="9"/>
      <c r="D155" s="9"/>
      <c r="E155" s="9"/>
    </row>
    <row r="156" customFormat="false" ht="15" hidden="false" customHeight="true" outlineLevel="0" collapsed="false">
      <c r="A156" s="9"/>
      <c r="B156" s="9"/>
      <c r="C156" s="9"/>
      <c r="D156" s="9"/>
      <c r="E156" s="9"/>
    </row>
    <row r="157" customFormat="false" ht="15" hidden="false" customHeight="true" outlineLevel="0" collapsed="false">
      <c r="A157" s="9"/>
      <c r="B157" s="9"/>
      <c r="C157" s="9"/>
      <c r="D157" s="9"/>
      <c r="E157" s="9"/>
    </row>
    <row r="158" customFormat="false" ht="15" hidden="false" customHeight="true" outlineLevel="0" collapsed="false">
      <c r="A158" s="9"/>
      <c r="B158" s="9"/>
      <c r="C158" s="9"/>
      <c r="D158" s="9"/>
      <c r="E158" s="9"/>
    </row>
    <row r="159" customFormat="false" ht="15" hidden="false" customHeight="true" outlineLevel="0" collapsed="false">
      <c r="A159" s="9"/>
      <c r="B159" s="9"/>
      <c r="C159" s="9"/>
      <c r="D159" s="9"/>
      <c r="E159" s="9"/>
    </row>
    <row r="160" customFormat="false" ht="15" hidden="false" customHeight="true" outlineLevel="0" collapsed="false">
      <c r="A160" s="9"/>
      <c r="B160" s="9"/>
      <c r="C160" s="9"/>
      <c r="D160" s="9"/>
      <c r="E160" s="9"/>
    </row>
    <row r="161" customFormat="false" ht="15" hidden="false" customHeight="true" outlineLevel="0" collapsed="false">
      <c r="A161" s="9"/>
      <c r="B161" s="9"/>
      <c r="C161" s="9"/>
      <c r="D161" s="9"/>
      <c r="E161" s="9"/>
    </row>
    <row r="162" customFormat="false" ht="15" hidden="false" customHeight="true" outlineLevel="0" collapsed="false">
      <c r="A162" s="9"/>
      <c r="B162" s="9"/>
      <c r="C162" s="9"/>
      <c r="D162" s="9"/>
      <c r="E162" s="9"/>
    </row>
    <row r="163" customFormat="false" ht="15" hidden="false" customHeight="true" outlineLevel="0" collapsed="false">
      <c r="A163" s="9"/>
      <c r="B163" s="9"/>
      <c r="C163" s="9"/>
      <c r="D163" s="9"/>
      <c r="E163" s="9"/>
    </row>
    <row r="164" customFormat="false" ht="15" hidden="false" customHeight="true" outlineLevel="0" collapsed="false">
      <c r="A164" s="9"/>
      <c r="B164" s="9"/>
      <c r="C164" s="9"/>
      <c r="D164" s="9"/>
      <c r="E164" s="9"/>
    </row>
    <row r="165" customFormat="false" ht="15" hidden="false" customHeight="true" outlineLevel="0" collapsed="false">
      <c r="A165" s="9"/>
      <c r="B165" s="9"/>
      <c r="C165" s="9"/>
      <c r="D165" s="9"/>
      <c r="E165" s="9"/>
    </row>
    <row r="166" customFormat="false" ht="15" hidden="false" customHeight="true" outlineLevel="0" collapsed="false">
      <c r="A166" s="9"/>
      <c r="B166" s="9"/>
      <c r="C166" s="9"/>
      <c r="D166" s="9"/>
      <c r="E166" s="9"/>
    </row>
    <row r="167" customFormat="false" ht="15" hidden="false" customHeight="true" outlineLevel="0" collapsed="false">
      <c r="A167" s="9"/>
      <c r="B167" s="9"/>
      <c r="C167" s="9"/>
      <c r="D167" s="9"/>
      <c r="E167" s="9"/>
    </row>
    <row r="168" customFormat="false" ht="15" hidden="false" customHeight="true" outlineLevel="0" collapsed="false">
      <c r="A168" s="9"/>
      <c r="B168" s="9"/>
      <c r="C168" s="9"/>
      <c r="D168" s="9"/>
      <c r="E168" s="9"/>
    </row>
    <row r="169" customFormat="false" ht="15" hidden="false" customHeight="true" outlineLevel="0" collapsed="false">
      <c r="A169" s="9"/>
      <c r="B169" s="9"/>
      <c r="C169" s="9"/>
      <c r="D169" s="9"/>
      <c r="E169" s="9"/>
    </row>
    <row r="170" customFormat="false" ht="15" hidden="false" customHeight="true" outlineLevel="0" collapsed="false">
      <c r="A170" s="9"/>
      <c r="B170" s="9"/>
      <c r="C170" s="9"/>
      <c r="D170" s="9"/>
      <c r="E170" s="9"/>
    </row>
    <row r="171" customFormat="false" ht="15" hidden="false" customHeight="true" outlineLevel="0" collapsed="false">
      <c r="A171" s="9"/>
      <c r="B171" s="9"/>
      <c r="C171" s="9"/>
      <c r="D171" s="9"/>
      <c r="E171" s="9"/>
    </row>
    <row r="172" customFormat="false" ht="15" hidden="false" customHeight="true" outlineLevel="0" collapsed="false">
      <c r="A172" s="9"/>
      <c r="B172" s="9"/>
      <c r="C172" s="9"/>
      <c r="D172" s="9"/>
      <c r="E172" s="9"/>
    </row>
    <row r="173" customFormat="false" ht="15" hidden="false" customHeight="true" outlineLevel="0" collapsed="false">
      <c r="A173" s="9"/>
      <c r="B173" s="9"/>
      <c r="C173" s="9"/>
      <c r="D173" s="9"/>
      <c r="E173" s="9"/>
    </row>
    <row r="174" customFormat="false" ht="15" hidden="false" customHeight="true" outlineLevel="0" collapsed="false">
      <c r="A174" s="9"/>
      <c r="B174" s="9"/>
      <c r="C174" s="9"/>
      <c r="D174" s="9"/>
      <c r="E174" s="9"/>
    </row>
    <row r="175" customFormat="false" ht="15" hidden="false" customHeight="true" outlineLevel="0" collapsed="false">
      <c r="A175" s="9"/>
      <c r="B175" s="9"/>
      <c r="C175" s="9"/>
      <c r="D175" s="9"/>
      <c r="E175" s="9"/>
    </row>
    <row r="176" customFormat="false" ht="15" hidden="false" customHeight="true" outlineLevel="0" collapsed="false">
      <c r="A176" s="9"/>
      <c r="B176" s="9"/>
      <c r="C176" s="9"/>
      <c r="D176" s="9"/>
      <c r="E176" s="9"/>
    </row>
    <row r="177" customFormat="false" ht="15" hidden="false" customHeight="true" outlineLevel="0" collapsed="false">
      <c r="A177" s="9"/>
      <c r="B177" s="9"/>
      <c r="C177" s="9"/>
      <c r="D177" s="9"/>
      <c r="E177" s="9"/>
    </row>
    <row r="178" customFormat="false" ht="15" hidden="false" customHeight="true" outlineLevel="0" collapsed="false">
      <c r="A178" s="9"/>
      <c r="B178" s="9"/>
      <c r="C178" s="9"/>
      <c r="D178" s="9"/>
      <c r="E178" s="9"/>
    </row>
    <row r="179" customFormat="false" ht="15" hidden="false" customHeight="true" outlineLevel="0" collapsed="false">
      <c r="A179" s="9"/>
      <c r="B179" s="9"/>
      <c r="C179" s="9"/>
      <c r="D179" s="9"/>
      <c r="E179" s="9"/>
    </row>
    <row r="180" customFormat="false" ht="15" hidden="false" customHeight="true" outlineLevel="0" collapsed="false">
      <c r="A180" s="9"/>
      <c r="B180" s="9"/>
      <c r="C180" s="9"/>
      <c r="D180" s="9"/>
      <c r="E180" s="9"/>
    </row>
    <row r="181" customFormat="false" ht="15" hidden="false" customHeight="true" outlineLevel="0" collapsed="false">
      <c r="A181" s="9"/>
      <c r="B181" s="9"/>
      <c r="C181" s="9"/>
      <c r="D181" s="9"/>
      <c r="E181" s="9"/>
    </row>
    <row r="182" customFormat="false" ht="15" hidden="false" customHeight="true" outlineLevel="0" collapsed="false">
      <c r="A182" s="9"/>
      <c r="B182" s="9"/>
      <c r="C182" s="9"/>
      <c r="D182" s="9"/>
      <c r="E182" s="9"/>
    </row>
    <row r="183" customFormat="false" ht="15" hidden="false" customHeight="true" outlineLevel="0" collapsed="false">
      <c r="A183" s="9"/>
      <c r="B183" s="9"/>
      <c r="C183" s="9"/>
      <c r="D183" s="9"/>
      <c r="E183" s="9"/>
    </row>
    <row r="184" customFormat="false" ht="15" hidden="false" customHeight="true" outlineLevel="0" collapsed="false">
      <c r="A184" s="9"/>
      <c r="B184" s="9"/>
      <c r="C184" s="9"/>
      <c r="D184" s="9"/>
      <c r="E184" s="9"/>
    </row>
    <row r="185" customFormat="false" ht="15" hidden="false" customHeight="true" outlineLevel="0" collapsed="false">
      <c r="A185" s="9"/>
      <c r="B185" s="9"/>
      <c r="C185" s="9"/>
      <c r="D185" s="9"/>
      <c r="E185" s="9"/>
    </row>
    <row r="186" customFormat="false" ht="15" hidden="false" customHeight="true" outlineLevel="0" collapsed="false">
      <c r="A186" s="9"/>
      <c r="B186" s="9"/>
      <c r="C186" s="9"/>
      <c r="D186" s="9"/>
      <c r="E186" s="9"/>
    </row>
    <row r="187" customFormat="false" ht="15" hidden="false" customHeight="true" outlineLevel="0" collapsed="false">
      <c r="A187" s="9"/>
      <c r="B187" s="9"/>
      <c r="C187" s="9"/>
      <c r="D187" s="9"/>
      <c r="E187" s="9"/>
    </row>
    <row r="188" customFormat="false" ht="15" hidden="false" customHeight="true" outlineLevel="0" collapsed="false">
      <c r="A188" s="9"/>
      <c r="B188" s="9"/>
      <c r="C188" s="9"/>
      <c r="D188" s="9"/>
      <c r="E188" s="9"/>
    </row>
    <row r="189" customFormat="false" ht="15" hidden="false" customHeight="true" outlineLevel="0" collapsed="false">
      <c r="A189" s="9"/>
      <c r="B189" s="9"/>
      <c r="C189" s="9"/>
      <c r="D189" s="9"/>
      <c r="E189" s="9"/>
    </row>
    <row r="190" customFormat="false" ht="15" hidden="false" customHeight="true" outlineLevel="0" collapsed="false">
      <c r="A190" s="9"/>
      <c r="B190" s="9"/>
      <c r="C190" s="9"/>
      <c r="D190" s="9"/>
      <c r="E190" s="9"/>
    </row>
    <row r="191" customFormat="false" ht="15" hidden="false" customHeight="true" outlineLevel="0" collapsed="false">
      <c r="A191" s="9"/>
      <c r="B191" s="9"/>
      <c r="C191" s="9"/>
      <c r="D191" s="9"/>
      <c r="E191" s="9"/>
    </row>
    <row r="192" customFormat="false" ht="15" hidden="false" customHeight="true" outlineLevel="0" collapsed="false">
      <c r="A192" s="9"/>
      <c r="B192" s="9"/>
      <c r="C192" s="9"/>
      <c r="D192" s="9"/>
      <c r="E192" s="9"/>
    </row>
    <row r="193" customFormat="false" ht="15" hidden="false" customHeight="true" outlineLevel="0" collapsed="false">
      <c r="A193" s="9"/>
      <c r="B193" s="9"/>
      <c r="C193" s="9"/>
      <c r="D193" s="9"/>
      <c r="E193" s="9"/>
    </row>
    <row r="194" customFormat="false" ht="15" hidden="false" customHeight="true" outlineLevel="0" collapsed="false">
      <c r="A194" s="9"/>
      <c r="B194" s="9"/>
      <c r="C194" s="9"/>
      <c r="D194" s="9"/>
      <c r="E194" s="9"/>
    </row>
    <row r="195" customFormat="false" ht="15" hidden="false" customHeight="true" outlineLevel="0" collapsed="false">
      <c r="A195" s="9"/>
      <c r="B195" s="9"/>
      <c r="C195" s="9"/>
      <c r="D195" s="9"/>
      <c r="E195" s="9"/>
    </row>
    <row r="196" customFormat="false" ht="15" hidden="false" customHeight="true" outlineLevel="0" collapsed="false">
      <c r="A196" s="9"/>
      <c r="B196" s="9"/>
      <c r="C196" s="9"/>
      <c r="D196" s="9"/>
      <c r="E196" s="9"/>
    </row>
    <row r="197" customFormat="false" ht="15" hidden="false" customHeight="true" outlineLevel="0" collapsed="false">
      <c r="A197" s="9"/>
      <c r="B197" s="9"/>
      <c r="C197" s="9"/>
      <c r="D197" s="9"/>
      <c r="E197" s="9"/>
    </row>
    <row r="198" customFormat="false" ht="15" hidden="false" customHeight="true" outlineLevel="0" collapsed="false">
      <c r="A198" s="9"/>
      <c r="B198" s="9"/>
      <c r="C198" s="9"/>
      <c r="D198" s="9"/>
      <c r="E198" s="9"/>
    </row>
    <row r="199" customFormat="false" ht="15" hidden="false" customHeight="true" outlineLevel="0" collapsed="false">
      <c r="A199" s="9"/>
      <c r="B199" s="9"/>
      <c r="C199" s="9"/>
      <c r="D199" s="9"/>
      <c r="E199" s="9"/>
    </row>
    <row r="200" customFormat="false" ht="15" hidden="false" customHeight="true" outlineLevel="0" collapsed="false">
      <c r="A200" s="9"/>
      <c r="B200" s="9"/>
      <c r="C200" s="9"/>
      <c r="D200" s="9"/>
      <c r="E200" s="9"/>
    </row>
    <row r="201" customFormat="false" ht="15" hidden="false" customHeight="true" outlineLevel="0" collapsed="false">
      <c r="A201" s="9"/>
      <c r="B201" s="9"/>
      <c r="C201" s="9"/>
      <c r="D201" s="9"/>
      <c r="E201" s="9"/>
    </row>
    <row r="202" customFormat="false" ht="15" hidden="false" customHeight="true" outlineLevel="0" collapsed="false">
      <c r="A202" s="9"/>
      <c r="B202" s="9"/>
      <c r="C202" s="9"/>
      <c r="D202" s="9"/>
      <c r="E202" s="9"/>
    </row>
    <row r="203" customFormat="false" ht="15" hidden="false" customHeight="true" outlineLevel="0" collapsed="false">
      <c r="A203" s="9"/>
      <c r="B203" s="9"/>
      <c r="C203" s="9"/>
      <c r="D203" s="9"/>
      <c r="E203" s="9"/>
    </row>
    <row r="204" customFormat="false" ht="15" hidden="false" customHeight="true" outlineLevel="0" collapsed="false">
      <c r="A204" s="9"/>
      <c r="B204" s="9"/>
      <c r="C204" s="9"/>
      <c r="D204" s="9"/>
      <c r="E204" s="9"/>
    </row>
    <row r="205" customFormat="false" ht="15" hidden="false" customHeight="true" outlineLevel="0" collapsed="false">
      <c r="A205" s="9"/>
      <c r="B205" s="9"/>
      <c r="C205" s="9"/>
      <c r="D205" s="9"/>
      <c r="E205" s="9"/>
    </row>
  </sheetData>
  <dataValidations count="2">
    <dataValidation allowBlank="true" errorStyle="stop" operator="between" showDropDown="false" showErrorMessage="false" showInputMessage="false" sqref="B6:B205" type="whole">
      <formula1>1</formula1>
      <formula2>16</formula2>
    </dataValidation>
    <dataValidation allowBlank="true" errorStyle="stop" operator="between" showDropDown="false" showErrorMessage="false" showInputMessage="false" sqref="D6:D205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1" width="11"/>
  </cols>
  <sheetData>
    <row r="1" customFormat="false" ht="17.25" hidden="false" customHeight="true" outlineLevel="0" collapsed="false">
      <c r="A1" s="6" t="s">
        <v>166</v>
      </c>
    </row>
    <row r="2" customFormat="false" ht="15" hidden="false" customHeight="true" outlineLevel="0" collapsed="false">
      <c r="A2" s="7" t="s">
        <v>167</v>
      </c>
    </row>
    <row r="3" customFormat="false" ht="15" hidden="false" customHeight="true" outlineLevel="0" collapsed="false">
      <c r="A3" s="21" t="s">
        <v>89</v>
      </c>
    </row>
    <row r="4" customFormat="false" ht="15" hidden="false" customHeight="true" outlineLevel="0" collapsed="false">
      <c r="A4" s="22" t="s">
        <v>90</v>
      </c>
      <c r="B4" s="22" t="n">
        <v>1</v>
      </c>
      <c r="C4" s="22" t="s">
        <v>168</v>
      </c>
    </row>
    <row r="5" customFormat="false" ht="42" hidden="false" customHeight="true" outlineLevel="0" collapsed="false">
      <c r="A5" s="23" t="s">
        <v>161</v>
      </c>
      <c r="B5" s="23" t="s">
        <v>169</v>
      </c>
      <c r="C5" s="23" t="s">
        <v>170</v>
      </c>
    </row>
    <row r="6" customFormat="false" ht="15" hidden="false" customHeight="true" outlineLevel="0" collapsed="false">
      <c r="A6" s="9"/>
      <c r="B6" s="9"/>
      <c r="C6" s="9"/>
    </row>
    <row r="7" customFormat="false" ht="15" hidden="false" customHeight="true" outlineLevel="0" collapsed="false">
      <c r="A7" s="9"/>
      <c r="B7" s="9"/>
      <c r="C7" s="9"/>
    </row>
    <row r="8" customFormat="false" ht="15" hidden="false" customHeight="true" outlineLevel="0" collapsed="false">
      <c r="A8" s="9"/>
      <c r="B8" s="9"/>
      <c r="C8" s="9"/>
    </row>
    <row r="9" customFormat="false" ht="15" hidden="false" customHeight="true" outlineLevel="0" collapsed="false">
      <c r="A9" s="9"/>
      <c r="B9" s="9"/>
      <c r="C9" s="9"/>
    </row>
    <row r="10" customFormat="false" ht="15" hidden="false" customHeight="true" outlineLevel="0" collapsed="false">
      <c r="A10" s="9"/>
      <c r="B10" s="9"/>
      <c r="C10" s="9"/>
    </row>
    <row r="11" customFormat="false" ht="15" hidden="false" customHeight="true" outlineLevel="0" collapsed="false">
      <c r="A11" s="9"/>
      <c r="B11" s="9"/>
      <c r="C11" s="9"/>
    </row>
    <row r="12" customFormat="false" ht="15" hidden="false" customHeight="true" outlineLevel="0" collapsed="false">
      <c r="A12" s="9"/>
      <c r="B12" s="9"/>
      <c r="C12" s="9"/>
    </row>
    <row r="13" customFormat="false" ht="15" hidden="false" customHeight="true" outlineLevel="0" collapsed="false">
      <c r="A13" s="9"/>
      <c r="B13" s="9"/>
      <c r="C13" s="9"/>
    </row>
    <row r="14" customFormat="false" ht="15" hidden="false" customHeight="true" outlineLevel="0" collapsed="false">
      <c r="A14" s="9"/>
      <c r="B14" s="9"/>
      <c r="C14" s="9"/>
    </row>
    <row r="15" customFormat="false" ht="15" hidden="false" customHeight="true" outlineLevel="0" collapsed="false">
      <c r="A15" s="9"/>
      <c r="B15" s="9"/>
      <c r="C15" s="9"/>
    </row>
    <row r="16" customFormat="false" ht="15" hidden="false" customHeight="true" outlineLevel="0" collapsed="false">
      <c r="A16" s="9"/>
      <c r="B16" s="9"/>
      <c r="C16" s="9"/>
    </row>
    <row r="17" customFormat="false" ht="15" hidden="false" customHeight="true" outlineLevel="0" collapsed="false">
      <c r="A17" s="9"/>
      <c r="B17" s="9"/>
      <c r="C17" s="9"/>
    </row>
    <row r="18" customFormat="false" ht="15" hidden="false" customHeight="true" outlineLevel="0" collapsed="false">
      <c r="A18" s="9"/>
      <c r="B18" s="9"/>
      <c r="C18" s="9"/>
    </row>
    <row r="19" customFormat="false" ht="15" hidden="false" customHeight="true" outlineLevel="0" collapsed="false">
      <c r="A19" s="9"/>
      <c r="B19" s="9"/>
      <c r="C19" s="9"/>
    </row>
    <row r="20" customFormat="false" ht="15" hidden="false" customHeight="true" outlineLevel="0" collapsed="false">
      <c r="A20" s="9"/>
      <c r="B20" s="9"/>
      <c r="C20" s="9"/>
    </row>
    <row r="21" customFormat="false" ht="15" hidden="false" customHeight="true" outlineLevel="0" collapsed="false">
      <c r="A21" s="9"/>
      <c r="B21" s="9"/>
      <c r="C21" s="9"/>
    </row>
    <row r="22" customFormat="false" ht="15" hidden="false" customHeight="true" outlineLevel="0" collapsed="false">
      <c r="A22" s="9"/>
      <c r="B22" s="9"/>
      <c r="C22" s="9"/>
    </row>
    <row r="23" customFormat="false" ht="15" hidden="false" customHeight="true" outlineLevel="0" collapsed="false">
      <c r="A23" s="9"/>
      <c r="B23" s="9"/>
      <c r="C23" s="9"/>
    </row>
    <row r="24" customFormat="false" ht="15" hidden="false" customHeight="true" outlineLevel="0" collapsed="false">
      <c r="A24" s="9"/>
      <c r="B24" s="9"/>
      <c r="C24" s="9"/>
    </row>
    <row r="25" customFormat="false" ht="15" hidden="false" customHeight="true" outlineLevel="0" collapsed="false">
      <c r="A25" s="9"/>
      <c r="B25" s="9"/>
      <c r="C25" s="9"/>
    </row>
    <row r="26" customFormat="false" ht="15" hidden="false" customHeight="true" outlineLevel="0" collapsed="false">
      <c r="A26" s="9"/>
      <c r="B26" s="9"/>
      <c r="C26" s="9"/>
    </row>
    <row r="27" customFormat="false" ht="15" hidden="false" customHeight="true" outlineLevel="0" collapsed="false">
      <c r="A27" s="9"/>
      <c r="B27" s="9"/>
      <c r="C27" s="9"/>
    </row>
    <row r="28" customFormat="false" ht="15" hidden="false" customHeight="true" outlineLevel="0" collapsed="false">
      <c r="A28" s="9"/>
      <c r="B28" s="9"/>
      <c r="C28" s="9"/>
    </row>
    <row r="29" customFormat="false" ht="15" hidden="false" customHeight="true" outlineLevel="0" collapsed="false">
      <c r="A29" s="9"/>
      <c r="B29" s="9"/>
      <c r="C29" s="9"/>
    </row>
    <row r="30" customFormat="false" ht="15" hidden="false" customHeight="true" outlineLevel="0" collapsed="false">
      <c r="A30" s="9"/>
      <c r="B30" s="9"/>
      <c r="C30" s="9"/>
    </row>
    <row r="31" customFormat="false" ht="15" hidden="false" customHeight="true" outlineLevel="0" collapsed="false">
      <c r="A31" s="9"/>
      <c r="B31" s="9"/>
      <c r="C31" s="9"/>
    </row>
    <row r="32" customFormat="false" ht="15" hidden="false" customHeight="true" outlineLevel="0" collapsed="false">
      <c r="A32" s="9"/>
      <c r="B32" s="9"/>
      <c r="C32" s="9"/>
    </row>
    <row r="33" customFormat="false" ht="15" hidden="false" customHeight="true" outlineLevel="0" collapsed="false">
      <c r="A33" s="9"/>
      <c r="B33" s="9"/>
      <c r="C33" s="9"/>
    </row>
    <row r="34" customFormat="false" ht="15" hidden="false" customHeight="true" outlineLevel="0" collapsed="false">
      <c r="A34" s="9"/>
      <c r="B34" s="9"/>
      <c r="C34" s="9"/>
    </row>
    <row r="35" customFormat="false" ht="15" hidden="false" customHeight="true" outlineLevel="0" collapsed="false">
      <c r="A35" s="9"/>
      <c r="B35" s="9"/>
      <c r="C35" s="9"/>
    </row>
    <row r="36" customFormat="false" ht="15" hidden="false" customHeight="true" outlineLevel="0" collapsed="false">
      <c r="A36" s="9"/>
      <c r="B36" s="9"/>
      <c r="C36" s="9"/>
    </row>
    <row r="37" customFormat="false" ht="15" hidden="false" customHeight="true" outlineLevel="0" collapsed="false">
      <c r="A37" s="9"/>
      <c r="B37" s="9"/>
      <c r="C37" s="9"/>
    </row>
    <row r="38" customFormat="false" ht="15" hidden="false" customHeight="true" outlineLevel="0" collapsed="false">
      <c r="A38" s="9"/>
      <c r="B38" s="9"/>
      <c r="C38" s="9"/>
    </row>
    <row r="39" customFormat="false" ht="15" hidden="false" customHeight="true" outlineLevel="0" collapsed="false">
      <c r="A39" s="9"/>
      <c r="B39" s="9"/>
      <c r="C39" s="9"/>
    </row>
    <row r="40" customFormat="false" ht="15" hidden="false" customHeight="true" outlineLevel="0" collapsed="false">
      <c r="A40" s="9"/>
      <c r="B40" s="9"/>
      <c r="C40" s="9"/>
    </row>
    <row r="41" customFormat="false" ht="15" hidden="false" customHeight="true" outlineLevel="0" collapsed="false">
      <c r="A41" s="9"/>
      <c r="B41" s="9"/>
      <c r="C41" s="9"/>
    </row>
    <row r="42" customFormat="false" ht="15" hidden="false" customHeight="true" outlineLevel="0" collapsed="false">
      <c r="A42" s="9"/>
      <c r="B42" s="9"/>
      <c r="C42" s="9"/>
    </row>
    <row r="43" customFormat="false" ht="15" hidden="false" customHeight="true" outlineLevel="0" collapsed="false">
      <c r="A43" s="9"/>
      <c r="B43" s="9"/>
      <c r="C43" s="9"/>
    </row>
    <row r="44" customFormat="false" ht="15" hidden="false" customHeight="true" outlineLevel="0" collapsed="false">
      <c r="A44" s="9"/>
      <c r="B44" s="9"/>
      <c r="C44" s="9"/>
    </row>
    <row r="45" customFormat="false" ht="15" hidden="false" customHeight="true" outlineLevel="0" collapsed="false">
      <c r="A45" s="9"/>
      <c r="B45" s="9"/>
      <c r="C45" s="9"/>
    </row>
    <row r="46" customFormat="false" ht="15" hidden="false" customHeight="true" outlineLevel="0" collapsed="false">
      <c r="A46" s="9"/>
      <c r="B46" s="9"/>
      <c r="C46" s="9"/>
    </row>
    <row r="47" customFormat="false" ht="15" hidden="false" customHeight="true" outlineLevel="0" collapsed="false">
      <c r="A47" s="9"/>
      <c r="B47" s="9"/>
      <c r="C47" s="9"/>
    </row>
    <row r="48" customFormat="false" ht="15" hidden="false" customHeight="true" outlineLevel="0" collapsed="false">
      <c r="A48" s="9"/>
      <c r="B48" s="9"/>
      <c r="C48" s="9"/>
    </row>
    <row r="49" customFormat="false" ht="15" hidden="false" customHeight="true" outlineLevel="0" collapsed="false">
      <c r="A49" s="9"/>
      <c r="B49" s="9"/>
      <c r="C49" s="9"/>
    </row>
    <row r="50" customFormat="false" ht="15" hidden="false" customHeight="true" outlineLevel="0" collapsed="false">
      <c r="A50" s="9"/>
      <c r="B50" s="9"/>
      <c r="C50" s="9"/>
    </row>
    <row r="51" customFormat="false" ht="15" hidden="false" customHeight="true" outlineLevel="0" collapsed="false">
      <c r="A51" s="9"/>
      <c r="B51" s="9"/>
      <c r="C51" s="9"/>
    </row>
    <row r="52" customFormat="false" ht="15" hidden="false" customHeight="true" outlineLevel="0" collapsed="false">
      <c r="A52" s="9"/>
      <c r="B52" s="9"/>
      <c r="C52" s="9"/>
    </row>
    <row r="53" customFormat="false" ht="15" hidden="false" customHeight="true" outlineLevel="0" collapsed="false">
      <c r="A53" s="9"/>
      <c r="B53" s="9"/>
      <c r="C53" s="9"/>
    </row>
    <row r="54" customFormat="false" ht="15" hidden="false" customHeight="true" outlineLevel="0" collapsed="false">
      <c r="A54" s="9"/>
      <c r="B54" s="9"/>
      <c r="C54" s="9"/>
    </row>
    <row r="55" customFormat="false" ht="15" hidden="false" customHeight="true" outlineLevel="0" collapsed="false">
      <c r="A55" s="9"/>
      <c r="B55" s="9"/>
      <c r="C55" s="9"/>
    </row>
    <row r="56" customFormat="false" ht="15" hidden="false" customHeight="true" outlineLevel="0" collapsed="false">
      <c r="A56" s="9"/>
      <c r="B56" s="9"/>
      <c r="C56" s="9"/>
    </row>
    <row r="57" customFormat="false" ht="15" hidden="false" customHeight="true" outlineLevel="0" collapsed="false">
      <c r="A57" s="9"/>
      <c r="B57" s="9"/>
      <c r="C57" s="9"/>
    </row>
    <row r="58" customFormat="false" ht="15" hidden="false" customHeight="true" outlineLevel="0" collapsed="false">
      <c r="A58" s="9"/>
      <c r="B58" s="9"/>
      <c r="C58" s="9"/>
    </row>
    <row r="59" customFormat="false" ht="15" hidden="false" customHeight="true" outlineLevel="0" collapsed="false">
      <c r="A59" s="9"/>
      <c r="B59" s="9"/>
      <c r="C59" s="9"/>
    </row>
    <row r="60" customFormat="false" ht="15" hidden="false" customHeight="true" outlineLevel="0" collapsed="false">
      <c r="A60" s="9"/>
      <c r="B60" s="9"/>
      <c r="C60" s="9"/>
    </row>
    <row r="61" customFormat="false" ht="15" hidden="false" customHeight="true" outlineLevel="0" collapsed="false">
      <c r="A61" s="9"/>
      <c r="B61" s="9"/>
      <c r="C61" s="9"/>
    </row>
    <row r="62" customFormat="false" ht="15" hidden="false" customHeight="true" outlineLevel="0" collapsed="false">
      <c r="A62" s="9"/>
      <c r="B62" s="9"/>
      <c r="C62" s="9"/>
    </row>
    <row r="63" customFormat="false" ht="15" hidden="false" customHeight="true" outlineLevel="0" collapsed="false">
      <c r="A63" s="9"/>
      <c r="B63" s="9"/>
      <c r="C63" s="9"/>
    </row>
    <row r="64" customFormat="false" ht="15" hidden="false" customHeight="true" outlineLevel="0" collapsed="false">
      <c r="A64" s="9"/>
      <c r="B64" s="9"/>
      <c r="C64" s="9"/>
    </row>
    <row r="65" customFormat="false" ht="15" hidden="false" customHeight="true" outlineLevel="0" collapsed="false">
      <c r="A65" s="9"/>
      <c r="B65" s="9"/>
      <c r="C65" s="9"/>
    </row>
    <row r="66" customFormat="false" ht="15" hidden="false" customHeight="true" outlineLevel="0" collapsed="false">
      <c r="A66" s="9"/>
      <c r="B66" s="9"/>
      <c r="C66" s="9"/>
    </row>
    <row r="67" customFormat="false" ht="15" hidden="false" customHeight="true" outlineLevel="0" collapsed="false">
      <c r="A67" s="9"/>
      <c r="B67" s="9"/>
      <c r="C67" s="9"/>
    </row>
    <row r="68" customFormat="false" ht="15" hidden="false" customHeight="true" outlineLevel="0" collapsed="false">
      <c r="A68" s="9"/>
      <c r="B68" s="9"/>
      <c r="C68" s="9"/>
    </row>
    <row r="69" customFormat="false" ht="15" hidden="false" customHeight="true" outlineLevel="0" collapsed="false">
      <c r="A69" s="9"/>
      <c r="B69" s="9"/>
      <c r="C69" s="9"/>
    </row>
    <row r="70" customFormat="false" ht="15" hidden="false" customHeight="true" outlineLevel="0" collapsed="false">
      <c r="A70" s="9"/>
      <c r="B70" s="9"/>
      <c r="C70" s="9"/>
    </row>
    <row r="71" customFormat="false" ht="15" hidden="false" customHeight="true" outlineLevel="0" collapsed="false">
      <c r="A71" s="9"/>
      <c r="B71" s="9"/>
      <c r="C71" s="9"/>
    </row>
    <row r="72" customFormat="false" ht="15" hidden="false" customHeight="true" outlineLevel="0" collapsed="false">
      <c r="A72" s="9"/>
      <c r="B72" s="9"/>
      <c r="C72" s="9"/>
    </row>
    <row r="73" customFormat="false" ht="15" hidden="false" customHeight="true" outlineLevel="0" collapsed="false">
      <c r="A73" s="9"/>
      <c r="B73" s="9"/>
      <c r="C73" s="9"/>
    </row>
    <row r="74" customFormat="false" ht="15" hidden="false" customHeight="true" outlineLevel="0" collapsed="false">
      <c r="A74" s="9"/>
      <c r="B74" s="9"/>
      <c r="C74" s="9"/>
    </row>
    <row r="75" customFormat="false" ht="15" hidden="false" customHeight="true" outlineLevel="0" collapsed="false">
      <c r="A75" s="9"/>
      <c r="B75" s="9"/>
      <c r="C75" s="9"/>
    </row>
    <row r="76" customFormat="false" ht="15" hidden="false" customHeight="true" outlineLevel="0" collapsed="false">
      <c r="A76" s="9"/>
      <c r="B76" s="9"/>
      <c r="C76" s="9"/>
    </row>
    <row r="77" customFormat="false" ht="15" hidden="false" customHeight="true" outlineLevel="0" collapsed="false">
      <c r="A77" s="9"/>
      <c r="B77" s="9"/>
      <c r="C77" s="9"/>
    </row>
    <row r="78" customFormat="false" ht="15" hidden="false" customHeight="true" outlineLevel="0" collapsed="false">
      <c r="A78" s="9"/>
      <c r="B78" s="9"/>
      <c r="C78" s="9"/>
    </row>
    <row r="79" customFormat="false" ht="15" hidden="false" customHeight="true" outlineLevel="0" collapsed="false">
      <c r="A79" s="9"/>
      <c r="B79" s="9"/>
      <c r="C79" s="9"/>
    </row>
    <row r="80" customFormat="false" ht="15" hidden="false" customHeight="true" outlineLevel="0" collapsed="false">
      <c r="A80" s="9"/>
      <c r="B80" s="9"/>
      <c r="C80" s="9"/>
    </row>
    <row r="81" customFormat="false" ht="15" hidden="false" customHeight="true" outlineLevel="0" collapsed="false">
      <c r="A81" s="9"/>
      <c r="B81" s="9"/>
      <c r="C81" s="9"/>
    </row>
    <row r="82" customFormat="false" ht="15" hidden="false" customHeight="true" outlineLevel="0" collapsed="false">
      <c r="A82" s="9"/>
      <c r="B82" s="9"/>
      <c r="C82" s="9"/>
    </row>
    <row r="83" customFormat="false" ht="15" hidden="false" customHeight="true" outlineLevel="0" collapsed="false">
      <c r="A83" s="9"/>
      <c r="B83" s="9"/>
      <c r="C83" s="9"/>
    </row>
    <row r="84" customFormat="false" ht="15" hidden="false" customHeight="true" outlineLevel="0" collapsed="false">
      <c r="A84" s="9"/>
      <c r="B84" s="9"/>
      <c r="C84" s="9"/>
    </row>
    <row r="85" customFormat="false" ht="15" hidden="false" customHeight="true" outlineLevel="0" collapsed="false">
      <c r="A85" s="9"/>
      <c r="B85" s="9"/>
      <c r="C85" s="9"/>
    </row>
    <row r="86" customFormat="false" ht="15" hidden="false" customHeight="true" outlineLevel="0" collapsed="false">
      <c r="A86" s="9"/>
      <c r="B86" s="9"/>
      <c r="C86" s="9"/>
    </row>
    <row r="87" customFormat="false" ht="15" hidden="false" customHeight="true" outlineLevel="0" collapsed="false">
      <c r="A87" s="9"/>
      <c r="B87" s="9"/>
      <c r="C87" s="9"/>
    </row>
    <row r="88" customFormat="false" ht="15" hidden="false" customHeight="true" outlineLevel="0" collapsed="false">
      <c r="A88" s="9"/>
      <c r="B88" s="9"/>
      <c r="C88" s="9"/>
    </row>
    <row r="89" customFormat="false" ht="15" hidden="false" customHeight="true" outlineLevel="0" collapsed="false">
      <c r="A89" s="9"/>
      <c r="B89" s="9"/>
      <c r="C89" s="9"/>
    </row>
    <row r="90" customFormat="false" ht="15" hidden="false" customHeight="true" outlineLevel="0" collapsed="false">
      <c r="A90" s="9"/>
      <c r="B90" s="9"/>
      <c r="C90" s="9"/>
    </row>
    <row r="91" customFormat="false" ht="15" hidden="false" customHeight="true" outlineLevel="0" collapsed="false">
      <c r="A91" s="9"/>
      <c r="B91" s="9"/>
      <c r="C91" s="9"/>
    </row>
    <row r="92" customFormat="false" ht="15" hidden="false" customHeight="true" outlineLevel="0" collapsed="false">
      <c r="A92" s="9"/>
      <c r="B92" s="9"/>
      <c r="C92" s="9"/>
    </row>
    <row r="93" customFormat="false" ht="15" hidden="false" customHeight="true" outlineLevel="0" collapsed="false">
      <c r="A93" s="9"/>
      <c r="B93" s="9"/>
      <c r="C93" s="9"/>
    </row>
    <row r="94" customFormat="false" ht="15" hidden="false" customHeight="true" outlineLevel="0" collapsed="false">
      <c r="A94" s="9"/>
      <c r="B94" s="9"/>
      <c r="C94" s="9"/>
    </row>
    <row r="95" customFormat="false" ht="15" hidden="false" customHeight="true" outlineLevel="0" collapsed="false">
      <c r="A95" s="9"/>
      <c r="B95" s="9"/>
      <c r="C95" s="9"/>
    </row>
    <row r="96" customFormat="false" ht="15" hidden="false" customHeight="true" outlineLevel="0" collapsed="false">
      <c r="A96" s="9"/>
      <c r="B96" s="9"/>
      <c r="C96" s="9"/>
    </row>
    <row r="97" customFormat="false" ht="15" hidden="false" customHeight="true" outlineLevel="0" collapsed="false">
      <c r="A97" s="9"/>
      <c r="B97" s="9"/>
      <c r="C97" s="9"/>
    </row>
    <row r="98" customFormat="false" ht="15" hidden="false" customHeight="true" outlineLevel="0" collapsed="false">
      <c r="A98" s="9"/>
      <c r="B98" s="9"/>
      <c r="C98" s="9"/>
    </row>
    <row r="99" customFormat="false" ht="15" hidden="false" customHeight="true" outlineLevel="0" collapsed="false">
      <c r="A99" s="9"/>
      <c r="B99" s="9"/>
      <c r="C99" s="9"/>
    </row>
    <row r="100" customFormat="false" ht="15" hidden="false" customHeight="true" outlineLevel="0" collapsed="false">
      <c r="A100" s="9"/>
      <c r="B100" s="9"/>
      <c r="C100" s="9"/>
    </row>
    <row r="101" customFormat="false" ht="15" hidden="false" customHeight="true" outlineLevel="0" collapsed="false">
      <c r="A101" s="9"/>
      <c r="B101" s="9"/>
      <c r="C101" s="9"/>
    </row>
    <row r="102" customFormat="false" ht="15" hidden="false" customHeight="true" outlineLevel="0" collapsed="false">
      <c r="A102" s="9"/>
      <c r="B102" s="9"/>
      <c r="C102" s="9"/>
    </row>
    <row r="103" customFormat="false" ht="15" hidden="false" customHeight="true" outlineLevel="0" collapsed="false">
      <c r="A103" s="9"/>
      <c r="B103" s="9"/>
      <c r="C103" s="9"/>
    </row>
    <row r="104" customFormat="false" ht="15" hidden="false" customHeight="true" outlineLevel="0" collapsed="false">
      <c r="A104" s="9"/>
      <c r="B104" s="9"/>
      <c r="C104" s="9"/>
    </row>
    <row r="105" customFormat="false" ht="15" hidden="false" customHeight="true" outlineLevel="0" collapsed="false">
      <c r="A105" s="9"/>
      <c r="B105" s="9"/>
      <c r="C105" s="9"/>
    </row>
    <row r="106" customFormat="false" ht="15" hidden="false" customHeight="true" outlineLevel="0" collapsed="false">
      <c r="A106" s="9"/>
      <c r="B106" s="9"/>
      <c r="C106" s="9"/>
    </row>
    <row r="107" customFormat="false" ht="15" hidden="false" customHeight="true" outlineLevel="0" collapsed="false">
      <c r="A107" s="9"/>
      <c r="B107" s="9"/>
      <c r="C107" s="9"/>
    </row>
    <row r="108" customFormat="false" ht="15" hidden="false" customHeight="true" outlineLevel="0" collapsed="false">
      <c r="A108" s="9"/>
      <c r="B108" s="9"/>
      <c r="C108" s="9"/>
    </row>
    <row r="109" customFormat="false" ht="15" hidden="false" customHeight="true" outlineLevel="0" collapsed="false">
      <c r="A109" s="9"/>
      <c r="B109" s="9"/>
      <c r="C109" s="9"/>
    </row>
    <row r="110" customFormat="false" ht="15" hidden="false" customHeight="true" outlineLevel="0" collapsed="false">
      <c r="A110" s="9"/>
      <c r="B110" s="9"/>
      <c r="C110" s="9"/>
    </row>
    <row r="111" customFormat="false" ht="15" hidden="false" customHeight="true" outlineLevel="0" collapsed="false">
      <c r="A111" s="9"/>
      <c r="B111" s="9"/>
      <c r="C111" s="9"/>
    </row>
    <row r="112" customFormat="false" ht="15" hidden="false" customHeight="true" outlineLevel="0" collapsed="false">
      <c r="A112" s="9"/>
      <c r="B112" s="9"/>
      <c r="C112" s="9"/>
    </row>
    <row r="113" customFormat="false" ht="15" hidden="false" customHeight="true" outlineLevel="0" collapsed="false">
      <c r="A113" s="9"/>
      <c r="B113" s="9"/>
      <c r="C113" s="9"/>
    </row>
    <row r="114" customFormat="false" ht="15" hidden="false" customHeight="true" outlineLevel="0" collapsed="false">
      <c r="A114" s="9"/>
      <c r="B114" s="9"/>
      <c r="C114" s="9"/>
    </row>
    <row r="115" customFormat="false" ht="15" hidden="false" customHeight="true" outlineLevel="0" collapsed="false">
      <c r="A115" s="9"/>
      <c r="B115" s="9"/>
      <c r="C115" s="9"/>
    </row>
    <row r="116" customFormat="false" ht="15" hidden="false" customHeight="true" outlineLevel="0" collapsed="false">
      <c r="A116" s="9"/>
      <c r="B116" s="9"/>
      <c r="C116" s="9"/>
    </row>
    <row r="117" customFormat="false" ht="15" hidden="false" customHeight="true" outlineLevel="0" collapsed="false">
      <c r="A117" s="9"/>
      <c r="B117" s="9"/>
      <c r="C117" s="9"/>
    </row>
    <row r="118" customFormat="false" ht="15" hidden="false" customHeight="true" outlineLevel="0" collapsed="false">
      <c r="A118" s="9"/>
      <c r="B118" s="9"/>
      <c r="C118" s="9"/>
    </row>
    <row r="119" customFormat="false" ht="15" hidden="false" customHeight="true" outlineLevel="0" collapsed="false">
      <c r="A119" s="9"/>
      <c r="B119" s="9"/>
      <c r="C119" s="9"/>
    </row>
    <row r="120" customFormat="false" ht="15" hidden="false" customHeight="true" outlineLevel="0" collapsed="false">
      <c r="A120" s="9"/>
      <c r="B120" s="9"/>
      <c r="C120" s="9"/>
    </row>
    <row r="121" customFormat="false" ht="15" hidden="false" customHeight="true" outlineLevel="0" collapsed="false">
      <c r="A121" s="9"/>
      <c r="B121" s="9"/>
      <c r="C121" s="9"/>
    </row>
    <row r="122" customFormat="false" ht="15" hidden="false" customHeight="true" outlineLevel="0" collapsed="false">
      <c r="A122" s="9"/>
      <c r="B122" s="9"/>
      <c r="C122" s="9"/>
    </row>
    <row r="123" customFormat="false" ht="15" hidden="false" customHeight="true" outlineLevel="0" collapsed="false">
      <c r="A123" s="9"/>
      <c r="B123" s="9"/>
      <c r="C123" s="9"/>
    </row>
    <row r="124" customFormat="false" ht="15" hidden="false" customHeight="true" outlineLevel="0" collapsed="false">
      <c r="A124" s="9"/>
      <c r="B124" s="9"/>
      <c r="C124" s="9"/>
    </row>
    <row r="125" customFormat="false" ht="15" hidden="false" customHeight="true" outlineLevel="0" collapsed="false">
      <c r="A125" s="9"/>
      <c r="B125" s="9"/>
      <c r="C125" s="9"/>
    </row>
    <row r="126" customFormat="false" ht="15" hidden="false" customHeight="true" outlineLevel="0" collapsed="false">
      <c r="A126" s="9"/>
      <c r="B126" s="9"/>
      <c r="C126" s="9"/>
    </row>
    <row r="127" customFormat="false" ht="15" hidden="false" customHeight="true" outlineLevel="0" collapsed="false">
      <c r="A127" s="9"/>
      <c r="B127" s="9"/>
      <c r="C127" s="9"/>
    </row>
    <row r="128" customFormat="false" ht="15" hidden="false" customHeight="true" outlineLevel="0" collapsed="false">
      <c r="A128" s="9"/>
      <c r="B128" s="9"/>
      <c r="C128" s="9"/>
    </row>
    <row r="129" customFormat="false" ht="15" hidden="false" customHeight="true" outlineLevel="0" collapsed="false">
      <c r="A129" s="9"/>
      <c r="B129" s="9"/>
      <c r="C129" s="9"/>
    </row>
    <row r="130" customFormat="false" ht="15" hidden="false" customHeight="true" outlineLevel="0" collapsed="false">
      <c r="A130" s="9"/>
      <c r="B130" s="9"/>
      <c r="C130" s="9"/>
    </row>
    <row r="131" customFormat="false" ht="15" hidden="false" customHeight="true" outlineLevel="0" collapsed="false">
      <c r="A131" s="9"/>
      <c r="B131" s="9"/>
      <c r="C131" s="9"/>
    </row>
    <row r="132" customFormat="false" ht="15" hidden="false" customHeight="true" outlineLevel="0" collapsed="false">
      <c r="A132" s="9"/>
      <c r="B132" s="9"/>
      <c r="C132" s="9"/>
    </row>
    <row r="133" customFormat="false" ht="15" hidden="false" customHeight="true" outlineLevel="0" collapsed="false">
      <c r="A133" s="9"/>
      <c r="B133" s="9"/>
      <c r="C133" s="9"/>
    </row>
    <row r="134" customFormat="false" ht="15" hidden="false" customHeight="true" outlineLevel="0" collapsed="false">
      <c r="A134" s="9"/>
      <c r="B134" s="9"/>
      <c r="C134" s="9"/>
    </row>
    <row r="135" customFormat="false" ht="15" hidden="false" customHeight="true" outlineLevel="0" collapsed="false">
      <c r="A135" s="9"/>
      <c r="B135" s="9"/>
      <c r="C135" s="9"/>
    </row>
    <row r="136" customFormat="false" ht="15" hidden="false" customHeight="true" outlineLevel="0" collapsed="false">
      <c r="A136" s="9"/>
      <c r="B136" s="9"/>
      <c r="C136" s="9"/>
    </row>
    <row r="137" customFormat="false" ht="15" hidden="false" customHeight="true" outlineLevel="0" collapsed="false">
      <c r="A137" s="9"/>
      <c r="B137" s="9"/>
      <c r="C137" s="9"/>
    </row>
    <row r="138" customFormat="false" ht="15" hidden="false" customHeight="true" outlineLevel="0" collapsed="false">
      <c r="A138" s="9"/>
      <c r="B138" s="9"/>
      <c r="C138" s="9"/>
    </row>
    <row r="139" customFormat="false" ht="15" hidden="false" customHeight="true" outlineLevel="0" collapsed="false">
      <c r="A139" s="9"/>
      <c r="B139" s="9"/>
      <c r="C139" s="9"/>
    </row>
    <row r="140" customFormat="false" ht="15" hidden="false" customHeight="true" outlineLevel="0" collapsed="false">
      <c r="A140" s="9"/>
      <c r="B140" s="9"/>
      <c r="C140" s="9"/>
    </row>
    <row r="141" customFormat="false" ht="15" hidden="false" customHeight="true" outlineLevel="0" collapsed="false">
      <c r="A141" s="9"/>
      <c r="B141" s="9"/>
      <c r="C141" s="9"/>
    </row>
    <row r="142" customFormat="false" ht="15" hidden="false" customHeight="true" outlineLevel="0" collapsed="false">
      <c r="A142" s="9"/>
      <c r="B142" s="9"/>
      <c r="C142" s="9"/>
    </row>
    <row r="143" customFormat="false" ht="15" hidden="false" customHeight="true" outlineLevel="0" collapsed="false">
      <c r="A143" s="9"/>
      <c r="B143" s="9"/>
      <c r="C143" s="9"/>
    </row>
    <row r="144" customFormat="false" ht="15" hidden="false" customHeight="true" outlineLevel="0" collapsed="false">
      <c r="A144" s="9"/>
      <c r="B144" s="9"/>
      <c r="C144" s="9"/>
    </row>
    <row r="145" customFormat="false" ht="15" hidden="false" customHeight="true" outlineLevel="0" collapsed="false">
      <c r="A145" s="9"/>
      <c r="B145" s="9"/>
      <c r="C145" s="9"/>
    </row>
    <row r="146" customFormat="false" ht="15" hidden="false" customHeight="true" outlineLevel="0" collapsed="false">
      <c r="A146" s="9"/>
      <c r="B146" s="9"/>
      <c r="C146" s="9"/>
    </row>
    <row r="147" customFormat="false" ht="15" hidden="false" customHeight="true" outlineLevel="0" collapsed="false">
      <c r="A147" s="9"/>
      <c r="B147" s="9"/>
      <c r="C147" s="9"/>
    </row>
    <row r="148" customFormat="false" ht="15" hidden="false" customHeight="true" outlineLevel="0" collapsed="false">
      <c r="A148" s="9"/>
      <c r="B148" s="9"/>
      <c r="C148" s="9"/>
    </row>
    <row r="149" customFormat="false" ht="15" hidden="false" customHeight="true" outlineLevel="0" collapsed="false">
      <c r="A149" s="9"/>
      <c r="B149" s="9"/>
      <c r="C149" s="9"/>
    </row>
    <row r="150" customFormat="false" ht="15" hidden="false" customHeight="true" outlineLevel="0" collapsed="false">
      <c r="A150" s="9"/>
      <c r="B150" s="9"/>
      <c r="C150" s="9"/>
    </row>
    <row r="151" customFormat="false" ht="15" hidden="false" customHeight="true" outlineLevel="0" collapsed="false">
      <c r="A151" s="9"/>
      <c r="B151" s="9"/>
      <c r="C151" s="9"/>
    </row>
    <row r="152" customFormat="false" ht="15" hidden="false" customHeight="true" outlineLevel="0" collapsed="false">
      <c r="A152" s="9"/>
      <c r="B152" s="9"/>
      <c r="C152" s="9"/>
    </row>
    <row r="153" customFormat="false" ht="15" hidden="false" customHeight="true" outlineLevel="0" collapsed="false">
      <c r="A153" s="9"/>
      <c r="B153" s="9"/>
      <c r="C153" s="9"/>
    </row>
    <row r="154" customFormat="false" ht="15" hidden="false" customHeight="true" outlineLevel="0" collapsed="false">
      <c r="A154" s="9"/>
      <c r="B154" s="9"/>
      <c r="C154" s="9"/>
    </row>
    <row r="155" customFormat="false" ht="15" hidden="false" customHeight="true" outlineLevel="0" collapsed="false">
      <c r="A155" s="9"/>
      <c r="B155" s="9"/>
      <c r="C155" s="9"/>
    </row>
    <row r="156" customFormat="false" ht="15" hidden="false" customHeight="true" outlineLevel="0" collapsed="false">
      <c r="A156" s="9"/>
      <c r="B156" s="9"/>
      <c r="C156" s="9"/>
    </row>
    <row r="157" customFormat="false" ht="15" hidden="false" customHeight="true" outlineLevel="0" collapsed="false">
      <c r="A157" s="9"/>
      <c r="B157" s="9"/>
      <c r="C157" s="9"/>
    </row>
    <row r="158" customFormat="false" ht="15" hidden="false" customHeight="true" outlineLevel="0" collapsed="false">
      <c r="A158" s="9"/>
      <c r="B158" s="9"/>
      <c r="C158" s="9"/>
    </row>
    <row r="159" customFormat="false" ht="15" hidden="false" customHeight="true" outlineLevel="0" collapsed="false">
      <c r="A159" s="9"/>
      <c r="B159" s="9"/>
      <c r="C159" s="9"/>
    </row>
    <row r="160" customFormat="false" ht="15" hidden="false" customHeight="true" outlineLevel="0" collapsed="false">
      <c r="A160" s="9"/>
      <c r="B160" s="9"/>
      <c r="C160" s="9"/>
    </row>
    <row r="161" customFormat="false" ht="15" hidden="false" customHeight="true" outlineLevel="0" collapsed="false">
      <c r="A161" s="9"/>
      <c r="B161" s="9"/>
      <c r="C161" s="9"/>
    </row>
    <row r="162" customFormat="false" ht="15" hidden="false" customHeight="true" outlineLevel="0" collapsed="false">
      <c r="A162" s="9"/>
      <c r="B162" s="9"/>
      <c r="C162" s="9"/>
    </row>
    <row r="163" customFormat="false" ht="15" hidden="false" customHeight="true" outlineLevel="0" collapsed="false">
      <c r="A163" s="9"/>
      <c r="B163" s="9"/>
      <c r="C163" s="9"/>
    </row>
    <row r="164" customFormat="false" ht="15" hidden="false" customHeight="true" outlineLevel="0" collapsed="false">
      <c r="A164" s="9"/>
      <c r="B164" s="9"/>
      <c r="C164" s="9"/>
    </row>
    <row r="165" customFormat="false" ht="15" hidden="false" customHeight="true" outlineLevel="0" collapsed="false">
      <c r="A165" s="9"/>
      <c r="B165" s="9"/>
      <c r="C165" s="9"/>
    </row>
    <row r="166" customFormat="false" ht="15" hidden="false" customHeight="true" outlineLevel="0" collapsed="false">
      <c r="A166" s="9"/>
      <c r="B166" s="9"/>
      <c r="C166" s="9"/>
    </row>
    <row r="167" customFormat="false" ht="15" hidden="false" customHeight="true" outlineLevel="0" collapsed="false">
      <c r="A167" s="9"/>
      <c r="B167" s="9"/>
      <c r="C167" s="9"/>
    </row>
    <row r="168" customFormat="false" ht="15" hidden="false" customHeight="true" outlineLevel="0" collapsed="false">
      <c r="A168" s="9"/>
      <c r="B168" s="9"/>
      <c r="C168" s="9"/>
    </row>
    <row r="169" customFormat="false" ht="15" hidden="false" customHeight="true" outlineLevel="0" collapsed="false">
      <c r="A169" s="9"/>
      <c r="B169" s="9"/>
      <c r="C169" s="9"/>
    </row>
    <row r="170" customFormat="false" ht="15" hidden="false" customHeight="true" outlineLevel="0" collapsed="false">
      <c r="A170" s="9"/>
      <c r="B170" s="9"/>
      <c r="C170" s="9"/>
    </row>
    <row r="171" customFormat="false" ht="15" hidden="false" customHeight="true" outlineLevel="0" collapsed="false">
      <c r="A171" s="9"/>
      <c r="B171" s="9"/>
      <c r="C171" s="9"/>
    </row>
    <row r="172" customFormat="false" ht="15" hidden="false" customHeight="true" outlineLevel="0" collapsed="false">
      <c r="A172" s="9"/>
      <c r="B172" s="9"/>
      <c r="C172" s="9"/>
    </row>
    <row r="173" customFormat="false" ht="15" hidden="false" customHeight="true" outlineLevel="0" collapsed="false">
      <c r="A173" s="9"/>
      <c r="B173" s="9"/>
      <c r="C173" s="9"/>
    </row>
    <row r="174" customFormat="false" ht="15" hidden="false" customHeight="true" outlineLevel="0" collapsed="false">
      <c r="A174" s="9"/>
      <c r="B174" s="9"/>
      <c r="C174" s="9"/>
    </row>
    <row r="175" customFormat="false" ht="15" hidden="false" customHeight="true" outlineLevel="0" collapsed="false">
      <c r="A175" s="9"/>
      <c r="B175" s="9"/>
      <c r="C175" s="9"/>
    </row>
    <row r="176" customFormat="false" ht="15" hidden="false" customHeight="true" outlineLevel="0" collapsed="false">
      <c r="A176" s="9"/>
      <c r="B176" s="9"/>
      <c r="C176" s="9"/>
    </row>
    <row r="177" customFormat="false" ht="15" hidden="false" customHeight="true" outlineLevel="0" collapsed="false">
      <c r="A177" s="9"/>
      <c r="B177" s="9"/>
      <c r="C177" s="9"/>
    </row>
    <row r="178" customFormat="false" ht="15" hidden="false" customHeight="true" outlineLevel="0" collapsed="false">
      <c r="A178" s="9"/>
      <c r="B178" s="9"/>
      <c r="C178" s="9"/>
    </row>
    <row r="179" customFormat="false" ht="15" hidden="false" customHeight="true" outlineLevel="0" collapsed="false">
      <c r="A179" s="9"/>
      <c r="B179" s="9"/>
      <c r="C179" s="9"/>
    </row>
    <row r="180" customFormat="false" ht="15" hidden="false" customHeight="true" outlineLevel="0" collapsed="false">
      <c r="A180" s="9"/>
      <c r="B180" s="9"/>
      <c r="C180" s="9"/>
    </row>
    <row r="181" customFormat="false" ht="15" hidden="false" customHeight="true" outlineLevel="0" collapsed="false">
      <c r="A181" s="9"/>
      <c r="B181" s="9"/>
      <c r="C181" s="9"/>
    </row>
    <row r="182" customFormat="false" ht="15" hidden="false" customHeight="true" outlineLevel="0" collapsed="false">
      <c r="A182" s="9"/>
      <c r="B182" s="9"/>
      <c r="C182" s="9"/>
    </row>
    <row r="183" customFormat="false" ht="15" hidden="false" customHeight="true" outlineLevel="0" collapsed="false">
      <c r="A183" s="9"/>
      <c r="B183" s="9"/>
      <c r="C183" s="9"/>
    </row>
    <row r="184" customFormat="false" ht="15" hidden="false" customHeight="true" outlineLevel="0" collapsed="false">
      <c r="A184" s="9"/>
      <c r="B184" s="9"/>
      <c r="C184" s="9"/>
    </row>
    <row r="185" customFormat="false" ht="15" hidden="false" customHeight="true" outlineLevel="0" collapsed="false">
      <c r="A185" s="9"/>
      <c r="B185" s="9"/>
      <c r="C185" s="9"/>
    </row>
    <row r="186" customFormat="false" ht="15" hidden="false" customHeight="true" outlineLevel="0" collapsed="false">
      <c r="A186" s="9"/>
      <c r="B186" s="9"/>
      <c r="C186" s="9"/>
    </row>
    <row r="187" customFormat="false" ht="15" hidden="false" customHeight="true" outlineLevel="0" collapsed="false">
      <c r="A187" s="9"/>
      <c r="B187" s="9"/>
      <c r="C187" s="9"/>
    </row>
    <row r="188" customFormat="false" ht="15" hidden="false" customHeight="true" outlineLevel="0" collapsed="false">
      <c r="A188" s="9"/>
      <c r="B188" s="9"/>
      <c r="C188" s="9"/>
    </row>
    <row r="189" customFormat="false" ht="15" hidden="false" customHeight="true" outlineLevel="0" collapsed="false">
      <c r="A189" s="9"/>
      <c r="B189" s="9"/>
      <c r="C189" s="9"/>
    </row>
    <row r="190" customFormat="false" ht="15" hidden="false" customHeight="true" outlineLevel="0" collapsed="false">
      <c r="A190" s="9"/>
      <c r="B190" s="9"/>
      <c r="C190" s="9"/>
    </row>
    <row r="191" customFormat="false" ht="15" hidden="false" customHeight="true" outlineLevel="0" collapsed="false">
      <c r="A191" s="9"/>
      <c r="B191" s="9"/>
      <c r="C191" s="9"/>
    </row>
    <row r="192" customFormat="false" ht="15" hidden="false" customHeight="true" outlineLevel="0" collapsed="false">
      <c r="A192" s="9"/>
      <c r="B192" s="9"/>
      <c r="C192" s="9"/>
    </row>
    <row r="193" customFormat="false" ht="15" hidden="false" customHeight="true" outlineLevel="0" collapsed="false">
      <c r="A193" s="9"/>
      <c r="B193" s="9"/>
      <c r="C193" s="9"/>
    </row>
    <row r="194" customFormat="false" ht="15" hidden="false" customHeight="true" outlineLevel="0" collapsed="false">
      <c r="A194" s="9"/>
      <c r="B194" s="9"/>
      <c r="C194" s="9"/>
    </row>
    <row r="195" customFormat="false" ht="15" hidden="false" customHeight="true" outlineLevel="0" collapsed="false">
      <c r="A195" s="9"/>
      <c r="B195" s="9"/>
      <c r="C195" s="9"/>
    </row>
    <row r="196" customFormat="false" ht="15" hidden="false" customHeight="true" outlineLevel="0" collapsed="false">
      <c r="A196" s="9"/>
      <c r="B196" s="9"/>
      <c r="C196" s="9"/>
    </row>
    <row r="197" customFormat="false" ht="15" hidden="false" customHeight="true" outlineLevel="0" collapsed="false">
      <c r="A197" s="9"/>
      <c r="B197" s="9"/>
      <c r="C197" s="9"/>
    </row>
    <row r="198" customFormat="false" ht="15" hidden="false" customHeight="true" outlineLevel="0" collapsed="false">
      <c r="A198" s="9"/>
      <c r="B198" s="9"/>
      <c r="C198" s="9"/>
    </row>
    <row r="199" customFormat="false" ht="15" hidden="false" customHeight="true" outlineLevel="0" collapsed="false">
      <c r="A199" s="9"/>
      <c r="B199" s="9"/>
      <c r="C199" s="9"/>
    </row>
    <row r="200" customFormat="false" ht="15" hidden="false" customHeight="true" outlineLevel="0" collapsed="false">
      <c r="A200" s="9"/>
      <c r="B200" s="9"/>
      <c r="C200" s="9"/>
    </row>
    <row r="201" customFormat="false" ht="15" hidden="false" customHeight="true" outlineLevel="0" collapsed="false">
      <c r="A201" s="9"/>
      <c r="B201" s="9"/>
      <c r="C201" s="9"/>
    </row>
    <row r="202" customFormat="false" ht="15" hidden="false" customHeight="true" outlineLevel="0" collapsed="false">
      <c r="A202" s="9"/>
      <c r="B202" s="9"/>
      <c r="C202" s="9"/>
    </row>
    <row r="203" customFormat="false" ht="15" hidden="false" customHeight="true" outlineLevel="0" collapsed="false">
      <c r="A203" s="9"/>
      <c r="B203" s="9"/>
      <c r="C203" s="9"/>
    </row>
    <row r="204" customFormat="false" ht="15" hidden="false" customHeight="true" outlineLevel="0" collapsed="false">
      <c r="A204" s="9"/>
      <c r="B204" s="9"/>
      <c r="C204" s="9"/>
    </row>
    <row r="205" customFormat="false" ht="15" hidden="false" customHeight="true" outlineLevel="0" collapsed="false">
      <c r="A205" s="9"/>
      <c r="B205" s="9"/>
      <c r="C205" s="9"/>
    </row>
  </sheetData>
  <dataValidations count="2">
    <dataValidation allowBlank="true" errorStyle="stop" operator="between" showDropDown="false" showErrorMessage="false" showInputMessage="false" sqref="B6:B205" type="whole">
      <formula1>1</formula1>
      <formula2>10</formula2>
    </dataValidation>
    <dataValidation allowBlank="true" errorStyle="stop" operator="between" showDropDown="false" showErrorMessage="false" showInputMessage="false" sqref="C6:C205" type="list">
      <formula1>"A,B"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5" min="4" style="1" width="12"/>
    <col collapsed="false" customWidth="true" hidden="false" outlineLevel="0" max="6" min="6" style="1" width="40"/>
    <col collapsed="false" customWidth="true" hidden="false" outlineLevel="0" max="7" min="7" style="1" width="16"/>
    <col collapsed="false" customWidth="true" hidden="false" outlineLevel="0" max="10" min="8" style="1" width="12"/>
    <col collapsed="false" customWidth="true" hidden="false" outlineLevel="0" max="11" min="11" style="1" width="14"/>
  </cols>
  <sheetData>
    <row r="1" customFormat="false" ht="17.25" hidden="false" customHeight="true" outlineLevel="0" collapsed="false">
      <c r="A1" s="6" t="s">
        <v>171</v>
      </c>
    </row>
    <row r="2" customFormat="false" ht="15" hidden="false" customHeight="true" outlineLevel="0" collapsed="false">
      <c r="A2" s="7" t="s">
        <v>172</v>
      </c>
    </row>
    <row r="3" customFormat="false" ht="15" hidden="false" customHeight="true" outlineLevel="0" collapsed="false">
      <c r="A3" s="21" t="s">
        <v>89</v>
      </c>
    </row>
    <row r="4" customFormat="false" ht="15" hidden="false" customHeight="true" outlineLevel="0" collapsed="false">
      <c r="A4" s="22" t="s">
        <v>90</v>
      </c>
      <c r="B4" s="22" t="s">
        <v>168</v>
      </c>
      <c r="C4" s="22" t="s">
        <v>168</v>
      </c>
      <c r="D4" s="22" t="n">
        <v>3</v>
      </c>
      <c r="E4" s="22" t="n">
        <v>5</v>
      </c>
      <c r="F4" s="22" t="s">
        <v>173</v>
      </c>
    </row>
    <row r="5" customFormat="false" ht="42" hidden="false" customHeight="true" outlineLevel="0" collapsed="false">
      <c r="A5" s="23" t="s">
        <v>161</v>
      </c>
      <c r="B5" s="23" t="s">
        <v>174</v>
      </c>
      <c r="C5" s="23" t="s">
        <v>175</v>
      </c>
      <c r="D5" s="23" t="s">
        <v>176</v>
      </c>
      <c r="E5" s="23" t="s">
        <v>177</v>
      </c>
      <c r="F5" s="23" t="s">
        <v>178</v>
      </c>
      <c r="G5" s="24" t="s">
        <v>179</v>
      </c>
      <c r="H5" s="24" t="s">
        <v>180</v>
      </c>
      <c r="I5" s="24" t="s">
        <v>181</v>
      </c>
      <c r="J5" s="24" t="s">
        <v>182</v>
      </c>
      <c r="K5" s="24" t="s">
        <v>183</v>
      </c>
    </row>
    <row r="6" customFormat="false" ht="15" hidden="false" customHeight="true" outlineLevel="0" collapsed="false">
      <c r="A6" s="9" t="s">
        <v>137</v>
      </c>
      <c r="B6" s="9" t="s">
        <v>184</v>
      </c>
      <c r="C6" s="9"/>
      <c r="D6" s="9"/>
      <c r="E6" s="9"/>
      <c r="F6" s="9"/>
      <c r="G6" s="25" t="n">
        <f aca="false">IFERROR(INDEX(Participants!$T$6:$T$205,MATCH(A6,Participants!$A$6:$A$205,0)),"")</f>
        <v>0</v>
      </c>
      <c r="H6" s="25" t="str">
        <f aca="false">IF(OR(C6="",G6&lt;&gt;"stranger"),"",IF(C6=B6,1,0))</f>
        <v/>
      </c>
      <c r="I6" s="25" t="str">
        <f aca="false">IF(G6&lt;&gt;"stranger","",IF(B6="A",IF(ISNUMBER(D6),D6,""),IF(B6="B",IF(ISNUMBER(E6),E6,""),"")))</f>
        <v/>
      </c>
      <c r="J6" s="25" t="str">
        <f aca="false">IF(G6&lt;&gt;"stranger","",IF(B6="A",IF(ISNUMBER(E6),E6,""),IF(B6="B",IF(ISNUMBER(D6),D6,""),"")))</f>
        <v/>
      </c>
      <c r="K6" s="25" t="str">
        <f aca="false">IF(OR(C6="",G6&lt;&gt;"friends &amp; family"),"",IF(C6=B6,1,0))</f>
        <v/>
      </c>
    </row>
    <row r="7" customFormat="false" ht="15" hidden="false" customHeight="true" outlineLevel="0" collapsed="false">
      <c r="A7" s="9" t="s">
        <v>138</v>
      </c>
      <c r="B7" s="9" t="s">
        <v>184</v>
      </c>
      <c r="C7" s="9"/>
      <c r="D7" s="9"/>
      <c r="E7" s="9"/>
      <c r="F7" s="9"/>
      <c r="G7" s="25" t="n">
        <f aca="false">IFERROR(INDEX(Participants!$T$6:$T$205,MATCH(A7,Participants!$A$6:$A$205,0)),"")</f>
        <v>0</v>
      </c>
      <c r="H7" s="25" t="str">
        <f aca="false">IF(OR(C7="",G7&lt;&gt;"stranger"),"",IF(C7=B7,1,0))</f>
        <v/>
      </c>
      <c r="I7" s="25" t="str">
        <f aca="false">IF(G7&lt;&gt;"stranger","",IF(B7="A",IF(ISNUMBER(D7),D7,""),IF(B7="B",IF(ISNUMBER(E7),E7,""),"")))</f>
        <v/>
      </c>
      <c r="J7" s="25" t="str">
        <f aca="false">IF(G7&lt;&gt;"stranger","",IF(B7="A",IF(ISNUMBER(E7),E7,""),IF(B7="B",IF(ISNUMBER(D7),D7,""),"")))</f>
        <v/>
      </c>
      <c r="K7" s="25" t="str">
        <f aca="false">IF(OR(C7="",G7&lt;&gt;"friends &amp; family"),"",IF(C7=B7,1,0))</f>
        <v/>
      </c>
    </row>
    <row r="8" customFormat="false" ht="15" hidden="false" customHeight="true" outlineLevel="0" collapsed="false">
      <c r="A8" s="9" t="s">
        <v>139</v>
      </c>
      <c r="B8" s="9" t="s">
        <v>168</v>
      </c>
      <c r="C8" s="9"/>
      <c r="D8" s="9"/>
      <c r="E8" s="9"/>
      <c r="F8" s="9"/>
      <c r="G8" s="25" t="n">
        <f aca="false">IFERROR(INDEX(Participants!$T$6:$T$205,MATCH(A8,Participants!$A$6:$A$205,0)),"")</f>
        <v>0</v>
      </c>
      <c r="H8" s="25" t="str">
        <f aca="false">IF(OR(C8="",G8&lt;&gt;"stranger"),"",IF(C8=B8,1,0))</f>
        <v/>
      </c>
      <c r="I8" s="25" t="str">
        <f aca="false">IF(G8&lt;&gt;"stranger","",IF(B8="A",IF(ISNUMBER(D8),D8,""),IF(B8="B",IF(ISNUMBER(E8),E8,""),"")))</f>
        <v/>
      </c>
      <c r="J8" s="25" t="str">
        <f aca="false">IF(G8&lt;&gt;"stranger","",IF(B8="A",IF(ISNUMBER(E8),E8,""),IF(B8="B",IF(ISNUMBER(D8),D8,""),"")))</f>
        <v/>
      </c>
      <c r="K8" s="25" t="str">
        <f aca="false">IF(OR(C8="",G8&lt;&gt;"friends &amp; family"),"",IF(C8=B8,1,0))</f>
        <v/>
      </c>
    </row>
    <row r="9" customFormat="false" ht="15" hidden="false" customHeight="true" outlineLevel="0" collapsed="false">
      <c r="A9" s="9" t="s">
        <v>140</v>
      </c>
      <c r="B9" s="9" t="s">
        <v>168</v>
      </c>
      <c r="C9" s="9"/>
      <c r="D9" s="9"/>
      <c r="E9" s="9"/>
      <c r="F9" s="9"/>
      <c r="G9" s="25" t="n">
        <f aca="false">IFERROR(INDEX(Participants!$T$6:$T$205,MATCH(A9,Participants!$A$6:$A$205,0)),"")</f>
        <v>0</v>
      </c>
      <c r="H9" s="25" t="str">
        <f aca="false">IF(OR(C9="",G9&lt;&gt;"stranger"),"",IF(C9=B9,1,0))</f>
        <v/>
      </c>
      <c r="I9" s="25" t="str">
        <f aca="false">IF(G9&lt;&gt;"stranger","",IF(B9="A",IF(ISNUMBER(D9),D9,""),IF(B9="B",IF(ISNUMBER(E9),E9,""),"")))</f>
        <v/>
      </c>
      <c r="J9" s="25" t="str">
        <f aca="false">IF(G9&lt;&gt;"stranger","",IF(B9="A",IF(ISNUMBER(E9),E9,""),IF(B9="B",IF(ISNUMBER(D9),D9,""),"")))</f>
        <v/>
      </c>
      <c r="K9" s="25" t="str">
        <f aca="false">IF(OR(C9="",G9&lt;&gt;"friends &amp; family"),"",IF(C9=B9,1,0))</f>
        <v/>
      </c>
    </row>
    <row r="10" customFormat="false" ht="15" hidden="false" customHeight="true" outlineLevel="0" collapsed="false">
      <c r="A10" s="9" t="s">
        <v>141</v>
      </c>
      <c r="B10" s="9" t="s">
        <v>168</v>
      </c>
      <c r="C10" s="9"/>
      <c r="D10" s="9"/>
      <c r="E10" s="9"/>
      <c r="F10" s="9"/>
      <c r="G10" s="25" t="n">
        <f aca="false">IFERROR(INDEX(Participants!$T$6:$T$205,MATCH(A10,Participants!$A$6:$A$205,0)),"")</f>
        <v>0</v>
      </c>
      <c r="H10" s="25" t="str">
        <f aca="false">IF(OR(C10="",G10&lt;&gt;"stranger"),"",IF(C10=B10,1,0))</f>
        <v/>
      </c>
      <c r="I10" s="25" t="str">
        <f aca="false">IF(G10&lt;&gt;"stranger","",IF(B10="A",IF(ISNUMBER(D10),D10,""),IF(B10="B",IF(ISNUMBER(E10),E10,""),"")))</f>
        <v/>
      </c>
      <c r="J10" s="25" t="str">
        <f aca="false">IF(G10&lt;&gt;"stranger","",IF(B10="A",IF(ISNUMBER(E10),E10,""),IF(B10="B",IF(ISNUMBER(D10),D10,""),"")))</f>
        <v/>
      </c>
      <c r="K10" s="25" t="str">
        <f aca="false">IF(OR(C10="",G10&lt;&gt;"friends &amp; family"),"",IF(C10=B10,1,0))</f>
        <v/>
      </c>
    </row>
    <row r="11" customFormat="false" ht="15" hidden="false" customHeight="true" outlineLevel="0" collapsed="false">
      <c r="A11" s="9" t="s">
        <v>142</v>
      </c>
      <c r="B11" s="9" t="s">
        <v>168</v>
      </c>
      <c r="C11" s="9"/>
      <c r="D11" s="9"/>
      <c r="E11" s="9"/>
      <c r="F11" s="9"/>
      <c r="G11" s="25" t="n">
        <f aca="false">IFERROR(INDEX(Participants!$T$6:$T$205,MATCH(A11,Participants!$A$6:$A$205,0)),"")</f>
        <v>0</v>
      </c>
      <c r="H11" s="25" t="str">
        <f aca="false">IF(OR(C11="",G11&lt;&gt;"stranger"),"",IF(C11=B11,1,0))</f>
        <v/>
      </c>
      <c r="I11" s="25" t="str">
        <f aca="false">IF(G11&lt;&gt;"stranger","",IF(B11="A",IF(ISNUMBER(D11),D11,""),IF(B11="B",IF(ISNUMBER(E11),E11,""),"")))</f>
        <v/>
      </c>
      <c r="J11" s="25" t="str">
        <f aca="false">IF(G11&lt;&gt;"stranger","",IF(B11="A",IF(ISNUMBER(E11),E11,""),IF(B11="B",IF(ISNUMBER(D11),D11,""),"")))</f>
        <v/>
      </c>
      <c r="K11" s="25" t="str">
        <f aca="false">IF(OR(C11="",G11&lt;&gt;"friends &amp; family"),"",IF(C11=B11,1,0))</f>
        <v/>
      </c>
    </row>
    <row r="12" customFormat="false" ht="15" hidden="false" customHeight="true" outlineLevel="0" collapsed="false">
      <c r="A12" s="9" t="s">
        <v>143</v>
      </c>
      <c r="B12" s="9" t="s">
        <v>184</v>
      </c>
      <c r="C12" s="9"/>
      <c r="D12" s="9"/>
      <c r="E12" s="9"/>
      <c r="F12" s="9"/>
      <c r="G12" s="25" t="n">
        <f aca="false">IFERROR(INDEX(Participants!$T$6:$T$205,MATCH(A12,Participants!$A$6:$A$205,0)),"")</f>
        <v>0</v>
      </c>
      <c r="H12" s="25" t="str">
        <f aca="false">IF(OR(C12="",G12&lt;&gt;"stranger"),"",IF(C12=B12,1,0))</f>
        <v/>
      </c>
      <c r="I12" s="25" t="str">
        <f aca="false">IF(G12&lt;&gt;"stranger","",IF(B12="A",IF(ISNUMBER(D12),D12,""),IF(B12="B",IF(ISNUMBER(E12),E12,""),"")))</f>
        <v/>
      </c>
      <c r="J12" s="25" t="str">
        <f aca="false">IF(G12&lt;&gt;"stranger","",IF(B12="A",IF(ISNUMBER(E12),E12,""),IF(B12="B",IF(ISNUMBER(D12),D12,""),"")))</f>
        <v/>
      </c>
      <c r="K12" s="25" t="str">
        <f aca="false">IF(OR(C12="",G12&lt;&gt;"friends &amp; family"),"",IF(C12=B12,1,0))</f>
        <v/>
      </c>
    </row>
    <row r="13" customFormat="false" ht="15" hidden="false" customHeight="true" outlineLevel="0" collapsed="false">
      <c r="A13" s="9" t="s">
        <v>144</v>
      </c>
      <c r="B13" s="9" t="s">
        <v>168</v>
      </c>
      <c r="C13" s="9"/>
      <c r="D13" s="9"/>
      <c r="E13" s="9"/>
      <c r="F13" s="9"/>
      <c r="G13" s="25" t="n">
        <f aca="false">IFERROR(INDEX(Participants!$T$6:$T$205,MATCH(A13,Participants!$A$6:$A$205,0)),"")</f>
        <v>0</v>
      </c>
      <c r="H13" s="25" t="str">
        <f aca="false">IF(OR(C13="",G13&lt;&gt;"stranger"),"",IF(C13=B13,1,0))</f>
        <v/>
      </c>
      <c r="I13" s="25" t="str">
        <f aca="false">IF(G13&lt;&gt;"stranger","",IF(B13="A",IF(ISNUMBER(D13),D13,""),IF(B13="B",IF(ISNUMBER(E13),E13,""),"")))</f>
        <v/>
      </c>
      <c r="J13" s="25" t="str">
        <f aca="false">IF(G13&lt;&gt;"stranger","",IF(B13="A",IF(ISNUMBER(E13),E13,""),IF(B13="B",IF(ISNUMBER(D13),D13,""),"")))</f>
        <v/>
      </c>
      <c r="K13" s="25" t="str">
        <f aca="false">IF(OR(C13="",G13&lt;&gt;"friends &amp; family"),"",IF(C13=B13,1,0))</f>
        <v/>
      </c>
    </row>
    <row r="14" customFormat="false" ht="15" hidden="false" customHeight="true" outlineLevel="0" collapsed="false">
      <c r="A14" s="9" t="s">
        <v>145</v>
      </c>
      <c r="B14" s="9" t="s">
        <v>184</v>
      </c>
      <c r="C14" s="9"/>
      <c r="D14" s="9"/>
      <c r="E14" s="9"/>
      <c r="F14" s="9"/>
      <c r="G14" s="25" t="n">
        <f aca="false">IFERROR(INDEX(Participants!$T$6:$T$205,MATCH(A14,Participants!$A$6:$A$205,0)),"")</f>
        <v>0</v>
      </c>
      <c r="H14" s="25" t="str">
        <f aca="false">IF(OR(C14="",G14&lt;&gt;"stranger"),"",IF(C14=B14,1,0))</f>
        <v/>
      </c>
      <c r="I14" s="25" t="str">
        <f aca="false">IF(G14&lt;&gt;"stranger","",IF(B14="A",IF(ISNUMBER(D14),D14,""),IF(B14="B",IF(ISNUMBER(E14),E14,""),"")))</f>
        <v/>
      </c>
      <c r="J14" s="25" t="str">
        <f aca="false">IF(G14&lt;&gt;"stranger","",IF(B14="A",IF(ISNUMBER(E14),E14,""),IF(B14="B",IF(ISNUMBER(D14),D14,""),"")))</f>
        <v/>
      </c>
      <c r="K14" s="25" t="str">
        <f aca="false">IF(OR(C14="",G14&lt;&gt;"friends &amp; family"),"",IF(C14=B14,1,0))</f>
        <v/>
      </c>
    </row>
    <row r="15" customFormat="false" ht="15" hidden="false" customHeight="true" outlineLevel="0" collapsed="false">
      <c r="A15" s="9" t="s">
        <v>146</v>
      </c>
      <c r="B15" s="9" t="s">
        <v>184</v>
      </c>
      <c r="C15" s="9"/>
      <c r="D15" s="9"/>
      <c r="E15" s="9"/>
      <c r="F15" s="9"/>
      <c r="G15" s="25" t="n">
        <f aca="false">IFERROR(INDEX(Participants!$T$6:$T$205,MATCH(A15,Participants!$A$6:$A$205,0)),"")</f>
        <v>0</v>
      </c>
      <c r="H15" s="25" t="str">
        <f aca="false">IF(OR(C15="",G15&lt;&gt;"stranger"),"",IF(C15=B15,1,0))</f>
        <v/>
      </c>
      <c r="I15" s="25" t="str">
        <f aca="false">IF(G15&lt;&gt;"stranger","",IF(B15="A",IF(ISNUMBER(D15),D15,""),IF(B15="B",IF(ISNUMBER(E15),E15,""),"")))</f>
        <v/>
      </c>
      <c r="J15" s="25" t="str">
        <f aca="false">IF(G15&lt;&gt;"stranger","",IF(B15="A",IF(ISNUMBER(E15),E15,""),IF(B15="B",IF(ISNUMBER(D15),D15,""),"")))</f>
        <v/>
      </c>
      <c r="K15" s="25" t="str">
        <f aca="false">IF(OR(C15="",G15&lt;&gt;"friends &amp; family"),"",IF(C15=B15,1,0))</f>
        <v/>
      </c>
    </row>
    <row r="16" customFormat="false" ht="15" hidden="false" customHeight="true" outlineLevel="0" collapsed="false">
      <c r="A16" s="9" t="s">
        <v>147</v>
      </c>
      <c r="B16" s="9" t="s">
        <v>184</v>
      </c>
      <c r="C16" s="9"/>
      <c r="D16" s="9"/>
      <c r="E16" s="9"/>
      <c r="F16" s="9"/>
      <c r="G16" s="25" t="n">
        <f aca="false">IFERROR(INDEX(Participants!$T$6:$T$205,MATCH(A16,Participants!$A$6:$A$205,0)),"")</f>
        <v>0</v>
      </c>
      <c r="H16" s="25" t="str">
        <f aca="false">IF(OR(C16="",G16&lt;&gt;"stranger"),"",IF(C16=B16,1,0))</f>
        <v/>
      </c>
      <c r="I16" s="25" t="str">
        <f aca="false">IF(G16&lt;&gt;"stranger","",IF(B16="A",IF(ISNUMBER(D16),D16,""),IF(B16="B",IF(ISNUMBER(E16),E16,""),"")))</f>
        <v/>
      </c>
      <c r="J16" s="25" t="str">
        <f aca="false">IF(G16&lt;&gt;"stranger","",IF(B16="A",IF(ISNUMBER(E16),E16,""),IF(B16="B",IF(ISNUMBER(D16),D16,""),"")))</f>
        <v/>
      </c>
      <c r="K16" s="25" t="str">
        <f aca="false">IF(OR(C16="",G16&lt;&gt;"friends &amp; family"),"",IF(C16=B16,1,0))</f>
        <v/>
      </c>
    </row>
    <row r="17" customFormat="false" ht="15" hidden="false" customHeight="true" outlineLevel="0" collapsed="false">
      <c r="A17" s="9" t="s">
        <v>148</v>
      </c>
      <c r="B17" s="9" t="s">
        <v>168</v>
      </c>
      <c r="C17" s="9"/>
      <c r="D17" s="9"/>
      <c r="E17" s="9"/>
      <c r="F17" s="9"/>
      <c r="G17" s="25" t="n">
        <f aca="false">IFERROR(INDEX(Participants!$T$6:$T$205,MATCH(A17,Participants!$A$6:$A$205,0)),"")</f>
        <v>0</v>
      </c>
      <c r="H17" s="25" t="str">
        <f aca="false">IF(OR(C17="",G17&lt;&gt;"stranger"),"",IF(C17=B17,1,0))</f>
        <v/>
      </c>
      <c r="I17" s="25" t="str">
        <f aca="false">IF(G17&lt;&gt;"stranger","",IF(B17="A",IF(ISNUMBER(D17),D17,""),IF(B17="B",IF(ISNUMBER(E17),E17,""),"")))</f>
        <v/>
      </c>
      <c r="J17" s="25" t="str">
        <f aca="false">IF(G17&lt;&gt;"stranger","",IF(B17="A",IF(ISNUMBER(E17),E17,""),IF(B17="B",IF(ISNUMBER(D17),D17,""),"")))</f>
        <v/>
      </c>
      <c r="K17" s="25" t="str">
        <f aca="false">IF(OR(C17="",G17&lt;&gt;"friends &amp; family"),"",IF(C17=B17,1,0))</f>
        <v/>
      </c>
    </row>
    <row r="18" customFormat="false" ht="15" hidden="false" customHeight="true" outlineLevel="0" collapsed="false">
      <c r="A18" s="9" t="s">
        <v>149</v>
      </c>
      <c r="B18" s="9" t="s">
        <v>168</v>
      </c>
      <c r="C18" s="9"/>
      <c r="D18" s="9"/>
      <c r="E18" s="9"/>
      <c r="F18" s="9"/>
      <c r="G18" s="25" t="n">
        <f aca="false">IFERROR(INDEX(Participants!$T$6:$T$205,MATCH(A18,Participants!$A$6:$A$205,0)),"")</f>
        <v>0</v>
      </c>
      <c r="H18" s="25" t="str">
        <f aca="false">IF(OR(C18="",G18&lt;&gt;"stranger"),"",IF(C18=B18,1,0))</f>
        <v/>
      </c>
      <c r="I18" s="25" t="str">
        <f aca="false">IF(G18&lt;&gt;"stranger","",IF(B18="A",IF(ISNUMBER(D18),D18,""),IF(B18="B",IF(ISNUMBER(E18),E18,""),"")))</f>
        <v/>
      </c>
      <c r="J18" s="25" t="str">
        <f aca="false">IF(G18&lt;&gt;"stranger","",IF(B18="A",IF(ISNUMBER(E18),E18,""),IF(B18="B",IF(ISNUMBER(D18),D18,""),"")))</f>
        <v/>
      </c>
      <c r="K18" s="25" t="str">
        <f aca="false">IF(OR(C18="",G18&lt;&gt;"friends &amp; family"),"",IF(C18=B18,1,0))</f>
        <v/>
      </c>
    </row>
    <row r="19" customFormat="false" ht="15" hidden="false" customHeight="true" outlineLevel="0" collapsed="false">
      <c r="A19" s="9" t="s">
        <v>150</v>
      </c>
      <c r="B19" s="9" t="s">
        <v>184</v>
      </c>
      <c r="C19" s="9"/>
      <c r="D19" s="9"/>
      <c r="E19" s="9"/>
      <c r="F19" s="9"/>
      <c r="G19" s="25" t="n">
        <f aca="false">IFERROR(INDEX(Participants!$T$6:$T$205,MATCH(A19,Participants!$A$6:$A$205,0)),"")</f>
        <v>0</v>
      </c>
      <c r="H19" s="25" t="str">
        <f aca="false">IF(OR(C19="",G19&lt;&gt;"stranger"),"",IF(C19=B19,1,0))</f>
        <v/>
      </c>
      <c r="I19" s="25" t="str">
        <f aca="false">IF(G19&lt;&gt;"stranger","",IF(B19="A",IF(ISNUMBER(D19),D19,""),IF(B19="B",IF(ISNUMBER(E19),E19,""),"")))</f>
        <v/>
      </c>
      <c r="J19" s="25" t="str">
        <f aca="false">IF(G19&lt;&gt;"stranger","",IF(B19="A",IF(ISNUMBER(E19),E19,""),IF(B19="B",IF(ISNUMBER(D19),D19,""),"")))</f>
        <v/>
      </c>
      <c r="K19" s="25" t="str">
        <f aca="false">IF(OR(C19="",G19&lt;&gt;"friends &amp; family"),"",IF(C19=B19,1,0))</f>
        <v/>
      </c>
    </row>
    <row r="20" customFormat="false" ht="15" hidden="false" customHeight="true" outlineLevel="0" collapsed="false">
      <c r="A20" s="9" t="s">
        <v>151</v>
      </c>
      <c r="B20" s="9" t="s">
        <v>184</v>
      </c>
      <c r="C20" s="9"/>
      <c r="D20" s="9"/>
      <c r="E20" s="9"/>
      <c r="F20" s="9"/>
      <c r="G20" s="25" t="n">
        <f aca="false">IFERROR(INDEX(Participants!$T$6:$T$205,MATCH(A20,Participants!$A$6:$A$205,0)),"")</f>
        <v>0</v>
      </c>
      <c r="H20" s="25" t="str">
        <f aca="false">IF(OR(C20="",G20&lt;&gt;"stranger"),"",IF(C20=B20,1,0))</f>
        <v/>
      </c>
      <c r="I20" s="25" t="str">
        <f aca="false">IF(G20&lt;&gt;"stranger","",IF(B20="A",IF(ISNUMBER(D20),D20,""),IF(B20="B",IF(ISNUMBER(E20),E20,""),"")))</f>
        <v/>
      </c>
      <c r="J20" s="25" t="str">
        <f aca="false">IF(G20&lt;&gt;"stranger","",IF(B20="A",IF(ISNUMBER(E20),E20,""),IF(B20="B",IF(ISNUMBER(D20),D20,""),"")))</f>
        <v/>
      </c>
      <c r="K20" s="25" t="str">
        <f aca="false">IF(OR(C20="",G20&lt;&gt;"friends &amp; family"),"",IF(C20=B20,1,0))</f>
        <v/>
      </c>
    </row>
    <row r="21" customFormat="false" ht="15" hidden="false" customHeight="true" outlineLevel="0" collapsed="false">
      <c r="A21" s="9" t="s">
        <v>152</v>
      </c>
      <c r="B21" s="9" t="s">
        <v>168</v>
      </c>
      <c r="C21" s="9"/>
      <c r="D21" s="9"/>
      <c r="E21" s="9"/>
      <c r="F21" s="9"/>
      <c r="G21" s="25" t="n">
        <f aca="false">IFERROR(INDEX(Participants!$T$6:$T$205,MATCH(A21,Participants!$A$6:$A$205,0)),"")</f>
        <v>0</v>
      </c>
      <c r="H21" s="25" t="str">
        <f aca="false">IF(OR(C21="",G21&lt;&gt;"stranger"),"",IF(C21=B21,1,0))</f>
        <v/>
      </c>
      <c r="I21" s="25" t="str">
        <f aca="false">IF(G21&lt;&gt;"stranger","",IF(B21="A",IF(ISNUMBER(D21),D21,""),IF(B21="B",IF(ISNUMBER(E21),E21,""),"")))</f>
        <v/>
      </c>
      <c r="J21" s="25" t="str">
        <f aca="false">IF(G21&lt;&gt;"stranger","",IF(B21="A",IF(ISNUMBER(E21),E21,""),IF(B21="B",IF(ISNUMBER(D21),D21,""),"")))</f>
        <v/>
      </c>
      <c r="K21" s="25" t="str">
        <f aca="false">IF(OR(C21="",G21&lt;&gt;"friends &amp; family"),"",IF(C21=B21,1,0))</f>
        <v/>
      </c>
    </row>
    <row r="22" customFormat="false" ht="15" hidden="false" customHeight="true" outlineLevel="0" collapsed="false">
      <c r="A22" s="9" t="s">
        <v>153</v>
      </c>
      <c r="B22" s="9" t="s">
        <v>184</v>
      </c>
      <c r="C22" s="9"/>
      <c r="D22" s="9"/>
      <c r="E22" s="9"/>
      <c r="F22" s="9"/>
      <c r="G22" s="25" t="n">
        <f aca="false">IFERROR(INDEX(Participants!$T$6:$T$205,MATCH(A22,Participants!$A$6:$A$205,0)),"")</f>
        <v>0</v>
      </c>
      <c r="H22" s="25" t="str">
        <f aca="false">IF(OR(C22="",G22&lt;&gt;"stranger"),"",IF(C22=B22,1,0))</f>
        <v/>
      </c>
      <c r="I22" s="25" t="str">
        <f aca="false">IF(G22&lt;&gt;"stranger","",IF(B22="A",IF(ISNUMBER(D22),D22,""),IF(B22="B",IF(ISNUMBER(E22),E22,""),"")))</f>
        <v/>
      </c>
      <c r="J22" s="25" t="str">
        <f aca="false">IF(G22&lt;&gt;"stranger","",IF(B22="A",IF(ISNUMBER(E22),E22,""),IF(B22="B",IF(ISNUMBER(D22),D22,""),"")))</f>
        <v/>
      </c>
      <c r="K22" s="25" t="str">
        <f aca="false">IF(OR(C22="",G22&lt;&gt;"friends &amp; family"),"",IF(C22=B22,1,0))</f>
        <v/>
      </c>
    </row>
    <row r="23" customFormat="false" ht="15" hidden="false" customHeight="true" outlineLevel="0" collapsed="false">
      <c r="A23" s="9" t="s">
        <v>154</v>
      </c>
      <c r="B23" s="9" t="s">
        <v>184</v>
      </c>
      <c r="C23" s="9"/>
      <c r="D23" s="9"/>
      <c r="E23" s="9"/>
      <c r="F23" s="9"/>
      <c r="G23" s="25" t="n">
        <f aca="false">IFERROR(INDEX(Participants!$T$6:$T$205,MATCH(A23,Participants!$A$6:$A$205,0)),"")</f>
        <v>0</v>
      </c>
      <c r="H23" s="25" t="str">
        <f aca="false">IF(OR(C23="",G23&lt;&gt;"stranger"),"",IF(C23=B23,1,0))</f>
        <v/>
      </c>
      <c r="I23" s="25" t="str">
        <f aca="false">IF(G23&lt;&gt;"stranger","",IF(B23="A",IF(ISNUMBER(D23),D23,""),IF(B23="B",IF(ISNUMBER(E23),E23,""),"")))</f>
        <v/>
      </c>
      <c r="J23" s="25" t="str">
        <f aca="false">IF(G23&lt;&gt;"stranger","",IF(B23="A",IF(ISNUMBER(E23),E23,""),IF(B23="B",IF(ISNUMBER(D23),D23,""),"")))</f>
        <v/>
      </c>
      <c r="K23" s="25" t="str">
        <f aca="false">IF(OR(C23="",G23&lt;&gt;"friends &amp; family"),"",IF(C23=B23,1,0))</f>
        <v/>
      </c>
    </row>
    <row r="24" customFormat="false" ht="15" hidden="false" customHeight="true" outlineLevel="0" collapsed="false">
      <c r="A24" s="9" t="s">
        <v>155</v>
      </c>
      <c r="B24" s="9" t="s">
        <v>168</v>
      </c>
      <c r="C24" s="9"/>
      <c r="D24" s="9"/>
      <c r="E24" s="9"/>
      <c r="F24" s="9"/>
      <c r="G24" s="25" t="n">
        <f aca="false">IFERROR(INDEX(Participants!$T$6:$T$205,MATCH(A24,Participants!$A$6:$A$205,0)),"")</f>
        <v>0</v>
      </c>
      <c r="H24" s="25" t="str">
        <f aca="false">IF(OR(C24="",G24&lt;&gt;"stranger"),"",IF(C24=B24,1,0))</f>
        <v/>
      </c>
      <c r="I24" s="25" t="str">
        <f aca="false">IF(G24&lt;&gt;"stranger","",IF(B24="A",IF(ISNUMBER(D24),D24,""),IF(B24="B",IF(ISNUMBER(E24),E24,""),"")))</f>
        <v/>
      </c>
      <c r="J24" s="25" t="str">
        <f aca="false">IF(G24&lt;&gt;"stranger","",IF(B24="A",IF(ISNUMBER(E24),E24,""),IF(B24="B",IF(ISNUMBER(D24),D24,""),"")))</f>
        <v/>
      </c>
      <c r="K24" s="25" t="str">
        <f aca="false">IF(OR(C24="",G24&lt;&gt;"friends &amp; family"),"",IF(C24=B24,1,0))</f>
        <v/>
      </c>
    </row>
    <row r="25" customFormat="false" ht="15" hidden="false" customHeight="true" outlineLevel="0" collapsed="false">
      <c r="A25" s="9" t="s">
        <v>156</v>
      </c>
      <c r="B25" s="9" t="s">
        <v>168</v>
      </c>
      <c r="C25" s="9"/>
      <c r="D25" s="9"/>
      <c r="E25" s="9"/>
      <c r="F25" s="9"/>
      <c r="G25" s="25" t="n">
        <f aca="false">IFERROR(INDEX(Participants!$T$6:$T$205,MATCH(A25,Participants!$A$6:$A$205,0)),"")</f>
        <v>0</v>
      </c>
      <c r="H25" s="25" t="str">
        <f aca="false">IF(OR(C25="",G25&lt;&gt;"stranger"),"",IF(C25=B25,1,0))</f>
        <v/>
      </c>
      <c r="I25" s="25" t="str">
        <f aca="false">IF(G25&lt;&gt;"stranger","",IF(B25="A",IF(ISNUMBER(D25),D25,""),IF(B25="B",IF(ISNUMBER(E25),E25,""),"")))</f>
        <v/>
      </c>
      <c r="J25" s="25" t="str">
        <f aca="false">IF(G25&lt;&gt;"stranger","",IF(B25="A",IF(ISNUMBER(E25),E25,""),IF(B25="B",IF(ISNUMBER(D25),D25,""),"")))</f>
        <v/>
      </c>
      <c r="K25" s="25" t="str">
        <f aca="false">IF(OR(C25="",G25&lt;&gt;"friends &amp; family"),"",IF(C25=B25,1,0))</f>
        <v/>
      </c>
    </row>
    <row r="26" customFormat="false" ht="15" hidden="false" customHeight="true" outlineLevel="0" collapsed="false">
      <c r="A26" s="9"/>
      <c r="B26" s="9"/>
      <c r="C26" s="9"/>
      <c r="D26" s="9"/>
      <c r="E26" s="9"/>
      <c r="F26" s="9"/>
      <c r="G26" s="25" t="str">
        <f aca="false">IFERROR(INDEX(Participants!$T$6:$T$205,MATCH(A26,Participants!$A$6:$A$205,0)),"")</f>
        <v/>
      </c>
      <c r="H26" s="25" t="str">
        <f aca="false">IF(OR(C26="",G26&lt;&gt;"stranger"),"",IF(C26=B26,1,0))</f>
        <v/>
      </c>
      <c r="I26" s="25" t="str">
        <f aca="false">IF(G26&lt;&gt;"stranger","",IF(B26="A",IF(ISNUMBER(D26),D26,""),IF(B26="B",IF(ISNUMBER(E26),E26,""),"")))</f>
        <v/>
      </c>
      <c r="J26" s="25" t="str">
        <f aca="false">IF(G26&lt;&gt;"stranger","",IF(B26="A",IF(ISNUMBER(E26),E26,""),IF(B26="B",IF(ISNUMBER(D26),D26,""),"")))</f>
        <v/>
      </c>
      <c r="K26" s="25" t="str">
        <f aca="false">IF(OR(C26="",G26&lt;&gt;"friends &amp; family"),"",IF(C26=B26,1,0))</f>
        <v/>
      </c>
    </row>
    <row r="27" customFormat="false" ht="15" hidden="false" customHeight="true" outlineLevel="0" collapsed="false">
      <c r="A27" s="9"/>
      <c r="B27" s="9"/>
      <c r="C27" s="9"/>
      <c r="D27" s="9"/>
      <c r="E27" s="9"/>
      <c r="F27" s="9"/>
      <c r="G27" s="25" t="str">
        <f aca="false">IFERROR(INDEX(Participants!$T$6:$T$205,MATCH(A27,Participants!$A$6:$A$205,0)),"")</f>
        <v/>
      </c>
      <c r="H27" s="25" t="str">
        <f aca="false">IF(OR(C27="",G27&lt;&gt;"stranger"),"",IF(C27=B27,1,0))</f>
        <v/>
      </c>
      <c r="I27" s="25" t="str">
        <f aca="false">IF(G27&lt;&gt;"stranger","",IF(B27="A",IF(ISNUMBER(D27),D27,""),IF(B27="B",IF(ISNUMBER(E27),E27,""),"")))</f>
        <v/>
      </c>
      <c r="J27" s="25" t="str">
        <f aca="false">IF(G27&lt;&gt;"stranger","",IF(B27="A",IF(ISNUMBER(E27),E27,""),IF(B27="B",IF(ISNUMBER(D27),D27,""),"")))</f>
        <v/>
      </c>
      <c r="K27" s="25" t="str">
        <f aca="false">IF(OR(C27="",G27&lt;&gt;"friends &amp; family"),"",IF(C27=B27,1,0))</f>
        <v/>
      </c>
    </row>
    <row r="28" customFormat="false" ht="15" hidden="false" customHeight="true" outlineLevel="0" collapsed="false">
      <c r="A28" s="9"/>
      <c r="B28" s="9"/>
      <c r="C28" s="9"/>
      <c r="D28" s="9"/>
      <c r="E28" s="9"/>
      <c r="F28" s="9"/>
      <c r="G28" s="25" t="str">
        <f aca="false">IFERROR(INDEX(Participants!$T$6:$T$205,MATCH(A28,Participants!$A$6:$A$205,0)),"")</f>
        <v/>
      </c>
      <c r="H28" s="25" t="str">
        <f aca="false">IF(OR(C28="",G28&lt;&gt;"stranger"),"",IF(C28=B28,1,0))</f>
        <v/>
      </c>
      <c r="I28" s="25" t="str">
        <f aca="false">IF(G28&lt;&gt;"stranger","",IF(B28="A",IF(ISNUMBER(D28),D28,""),IF(B28="B",IF(ISNUMBER(E28),E28,""),"")))</f>
        <v/>
      </c>
      <c r="J28" s="25" t="str">
        <f aca="false">IF(G28&lt;&gt;"stranger","",IF(B28="A",IF(ISNUMBER(E28),E28,""),IF(B28="B",IF(ISNUMBER(D28),D28,""),"")))</f>
        <v/>
      </c>
      <c r="K28" s="25" t="str">
        <f aca="false">IF(OR(C28="",G28&lt;&gt;"friends &amp; family"),"",IF(C28=B28,1,0))</f>
        <v/>
      </c>
    </row>
    <row r="29" customFormat="false" ht="15" hidden="false" customHeight="true" outlineLevel="0" collapsed="false">
      <c r="A29" s="9"/>
      <c r="B29" s="9"/>
      <c r="C29" s="9"/>
      <c r="D29" s="9"/>
      <c r="E29" s="9"/>
      <c r="F29" s="9"/>
      <c r="G29" s="25" t="str">
        <f aca="false">IFERROR(INDEX(Participants!$T$6:$T$205,MATCH(A29,Participants!$A$6:$A$205,0)),"")</f>
        <v/>
      </c>
      <c r="H29" s="25" t="str">
        <f aca="false">IF(OR(C29="",G29&lt;&gt;"stranger"),"",IF(C29=B29,1,0))</f>
        <v/>
      </c>
      <c r="I29" s="25" t="str">
        <f aca="false">IF(G29&lt;&gt;"stranger","",IF(B29="A",IF(ISNUMBER(D29),D29,""),IF(B29="B",IF(ISNUMBER(E29),E29,""),"")))</f>
        <v/>
      </c>
      <c r="J29" s="25" t="str">
        <f aca="false">IF(G29&lt;&gt;"stranger","",IF(B29="A",IF(ISNUMBER(E29),E29,""),IF(B29="B",IF(ISNUMBER(D29),D29,""),"")))</f>
        <v/>
      </c>
      <c r="K29" s="25" t="str">
        <f aca="false">IF(OR(C29="",G29&lt;&gt;"friends &amp; family"),"",IF(C29=B29,1,0))</f>
        <v/>
      </c>
    </row>
    <row r="30" customFormat="false" ht="15" hidden="false" customHeight="true" outlineLevel="0" collapsed="false">
      <c r="A30" s="9"/>
      <c r="B30" s="9"/>
      <c r="C30" s="9"/>
      <c r="D30" s="9"/>
      <c r="E30" s="9"/>
      <c r="F30" s="9"/>
      <c r="G30" s="25" t="str">
        <f aca="false">IFERROR(INDEX(Participants!$T$6:$T$205,MATCH(A30,Participants!$A$6:$A$205,0)),"")</f>
        <v/>
      </c>
      <c r="H30" s="25" t="str">
        <f aca="false">IF(OR(C30="",G30&lt;&gt;"stranger"),"",IF(C30=B30,1,0))</f>
        <v/>
      </c>
      <c r="I30" s="25" t="str">
        <f aca="false">IF(G30&lt;&gt;"stranger","",IF(B30="A",IF(ISNUMBER(D30),D30,""),IF(B30="B",IF(ISNUMBER(E30),E30,""),"")))</f>
        <v/>
      </c>
      <c r="J30" s="25" t="str">
        <f aca="false">IF(G30&lt;&gt;"stranger","",IF(B30="A",IF(ISNUMBER(E30),E30,""),IF(B30="B",IF(ISNUMBER(D30),D30,""),"")))</f>
        <v/>
      </c>
      <c r="K30" s="25" t="str">
        <f aca="false">IF(OR(C30="",G30&lt;&gt;"friends &amp; family"),"",IF(C30=B30,1,0))</f>
        <v/>
      </c>
    </row>
    <row r="31" customFormat="false" ht="15" hidden="false" customHeight="true" outlineLevel="0" collapsed="false">
      <c r="A31" s="9"/>
      <c r="B31" s="9"/>
      <c r="C31" s="9"/>
      <c r="D31" s="9"/>
      <c r="E31" s="9"/>
      <c r="F31" s="9"/>
      <c r="G31" s="25" t="str">
        <f aca="false">IFERROR(INDEX(Participants!$T$6:$T$205,MATCH(A31,Participants!$A$6:$A$205,0)),"")</f>
        <v/>
      </c>
      <c r="H31" s="25" t="str">
        <f aca="false">IF(OR(C31="",G31&lt;&gt;"stranger"),"",IF(C31=B31,1,0))</f>
        <v/>
      </c>
      <c r="I31" s="25" t="str">
        <f aca="false">IF(G31&lt;&gt;"stranger","",IF(B31="A",IF(ISNUMBER(D31),D31,""),IF(B31="B",IF(ISNUMBER(E31),E31,""),"")))</f>
        <v/>
      </c>
      <c r="J31" s="25" t="str">
        <f aca="false">IF(G31&lt;&gt;"stranger","",IF(B31="A",IF(ISNUMBER(E31),E31,""),IF(B31="B",IF(ISNUMBER(D31),D31,""),"")))</f>
        <v/>
      </c>
      <c r="K31" s="25" t="str">
        <f aca="false">IF(OR(C31="",G31&lt;&gt;"friends &amp; family"),"",IF(C31=B31,1,0))</f>
        <v/>
      </c>
    </row>
    <row r="32" customFormat="false" ht="15" hidden="false" customHeight="true" outlineLevel="0" collapsed="false">
      <c r="A32" s="9"/>
      <c r="B32" s="9"/>
      <c r="C32" s="9"/>
      <c r="D32" s="9"/>
      <c r="E32" s="9"/>
      <c r="F32" s="9"/>
      <c r="G32" s="25" t="str">
        <f aca="false">IFERROR(INDEX(Participants!$T$6:$T$205,MATCH(A32,Participants!$A$6:$A$205,0)),"")</f>
        <v/>
      </c>
      <c r="H32" s="25" t="str">
        <f aca="false">IF(OR(C32="",G32&lt;&gt;"stranger"),"",IF(C32=B32,1,0))</f>
        <v/>
      </c>
      <c r="I32" s="25" t="str">
        <f aca="false">IF(G32&lt;&gt;"stranger","",IF(B32="A",IF(ISNUMBER(D32),D32,""),IF(B32="B",IF(ISNUMBER(E32),E32,""),"")))</f>
        <v/>
      </c>
      <c r="J32" s="25" t="str">
        <f aca="false">IF(G32&lt;&gt;"stranger","",IF(B32="A",IF(ISNUMBER(E32),E32,""),IF(B32="B",IF(ISNUMBER(D32),D32,""),"")))</f>
        <v/>
      </c>
      <c r="K32" s="25" t="str">
        <f aca="false">IF(OR(C32="",G32&lt;&gt;"friends &amp; family"),"",IF(C32=B32,1,0))</f>
        <v/>
      </c>
    </row>
    <row r="33" customFormat="false" ht="15" hidden="false" customHeight="true" outlineLevel="0" collapsed="false">
      <c r="A33" s="9"/>
      <c r="B33" s="9"/>
      <c r="C33" s="9"/>
      <c r="D33" s="9"/>
      <c r="E33" s="9"/>
      <c r="F33" s="9"/>
      <c r="G33" s="25" t="str">
        <f aca="false">IFERROR(INDEX(Participants!$T$6:$T$205,MATCH(A33,Participants!$A$6:$A$205,0)),"")</f>
        <v/>
      </c>
      <c r="H33" s="25" t="str">
        <f aca="false">IF(OR(C33="",G33&lt;&gt;"stranger"),"",IF(C33=B33,1,0))</f>
        <v/>
      </c>
      <c r="I33" s="25" t="str">
        <f aca="false">IF(G33&lt;&gt;"stranger","",IF(B33="A",IF(ISNUMBER(D33),D33,""),IF(B33="B",IF(ISNUMBER(E33),E33,""),"")))</f>
        <v/>
      </c>
      <c r="J33" s="25" t="str">
        <f aca="false">IF(G33&lt;&gt;"stranger","",IF(B33="A",IF(ISNUMBER(E33),E33,""),IF(B33="B",IF(ISNUMBER(D33),D33,""),"")))</f>
        <v/>
      </c>
      <c r="K33" s="25" t="str">
        <f aca="false">IF(OR(C33="",G33&lt;&gt;"friends &amp; family"),"",IF(C33=B33,1,0))</f>
        <v/>
      </c>
    </row>
    <row r="34" customFormat="false" ht="15" hidden="false" customHeight="true" outlineLevel="0" collapsed="false">
      <c r="A34" s="9"/>
      <c r="B34" s="9"/>
      <c r="C34" s="9"/>
      <c r="D34" s="9"/>
      <c r="E34" s="9"/>
      <c r="F34" s="9"/>
      <c r="G34" s="25" t="str">
        <f aca="false">IFERROR(INDEX(Participants!$T$6:$T$205,MATCH(A34,Participants!$A$6:$A$205,0)),"")</f>
        <v/>
      </c>
      <c r="H34" s="25" t="str">
        <f aca="false">IF(OR(C34="",G34&lt;&gt;"stranger"),"",IF(C34=B34,1,0))</f>
        <v/>
      </c>
      <c r="I34" s="25" t="str">
        <f aca="false">IF(G34&lt;&gt;"stranger","",IF(B34="A",IF(ISNUMBER(D34),D34,""),IF(B34="B",IF(ISNUMBER(E34),E34,""),"")))</f>
        <v/>
      </c>
      <c r="J34" s="25" t="str">
        <f aca="false">IF(G34&lt;&gt;"stranger","",IF(B34="A",IF(ISNUMBER(E34),E34,""),IF(B34="B",IF(ISNUMBER(D34),D34,""),"")))</f>
        <v/>
      </c>
      <c r="K34" s="25" t="str">
        <f aca="false">IF(OR(C34="",G34&lt;&gt;"friends &amp; family"),"",IF(C34=B34,1,0))</f>
        <v/>
      </c>
    </row>
    <row r="35" customFormat="false" ht="15" hidden="false" customHeight="true" outlineLevel="0" collapsed="false">
      <c r="A35" s="9"/>
      <c r="B35" s="9"/>
      <c r="C35" s="9"/>
      <c r="D35" s="9"/>
      <c r="E35" s="9"/>
      <c r="F35" s="9"/>
      <c r="G35" s="25" t="str">
        <f aca="false">IFERROR(INDEX(Participants!$T$6:$T$205,MATCH(A35,Participants!$A$6:$A$205,0)),"")</f>
        <v/>
      </c>
      <c r="H35" s="25" t="str">
        <f aca="false">IF(OR(C35="",G35&lt;&gt;"stranger"),"",IF(C35=B35,1,0))</f>
        <v/>
      </c>
      <c r="I35" s="25" t="str">
        <f aca="false">IF(G35&lt;&gt;"stranger","",IF(B35="A",IF(ISNUMBER(D35),D35,""),IF(B35="B",IF(ISNUMBER(E35),E35,""),"")))</f>
        <v/>
      </c>
      <c r="J35" s="25" t="str">
        <f aca="false">IF(G35&lt;&gt;"stranger","",IF(B35="A",IF(ISNUMBER(E35),E35,""),IF(B35="B",IF(ISNUMBER(D35),D35,""),"")))</f>
        <v/>
      </c>
      <c r="K35" s="25" t="str">
        <f aca="false">IF(OR(C35="",G35&lt;&gt;"friends &amp; family"),"",IF(C35=B35,1,0))</f>
        <v/>
      </c>
    </row>
    <row r="36" customFormat="false" ht="15" hidden="false" customHeight="true" outlineLevel="0" collapsed="false">
      <c r="A36" s="9"/>
      <c r="B36" s="9"/>
      <c r="C36" s="9"/>
      <c r="D36" s="9"/>
      <c r="E36" s="9"/>
      <c r="F36" s="9"/>
      <c r="G36" s="25" t="str">
        <f aca="false">IFERROR(INDEX(Participants!$T$6:$T$205,MATCH(A36,Participants!$A$6:$A$205,0)),"")</f>
        <v/>
      </c>
      <c r="H36" s="25" t="str">
        <f aca="false">IF(OR(C36="",G36&lt;&gt;"stranger"),"",IF(C36=B36,1,0))</f>
        <v/>
      </c>
      <c r="I36" s="25" t="str">
        <f aca="false">IF(G36&lt;&gt;"stranger","",IF(B36="A",IF(ISNUMBER(D36),D36,""),IF(B36="B",IF(ISNUMBER(E36),E36,""),"")))</f>
        <v/>
      </c>
      <c r="J36" s="25" t="str">
        <f aca="false">IF(G36&lt;&gt;"stranger","",IF(B36="A",IF(ISNUMBER(E36),E36,""),IF(B36="B",IF(ISNUMBER(D36),D36,""),"")))</f>
        <v/>
      </c>
      <c r="K36" s="25" t="str">
        <f aca="false">IF(OR(C36="",G36&lt;&gt;"friends &amp; family"),"",IF(C36=B36,1,0))</f>
        <v/>
      </c>
    </row>
    <row r="37" customFormat="false" ht="15" hidden="false" customHeight="true" outlineLevel="0" collapsed="false">
      <c r="A37" s="9"/>
      <c r="B37" s="9"/>
      <c r="C37" s="9"/>
      <c r="D37" s="9"/>
      <c r="E37" s="9"/>
      <c r="F37" s="9"/>
      <c r="G37" s="25" t="str">
        <f aca="false">IFERROR(INDEX(Participants!$T$6:$T$205,MATCH(A37,Participants!$A$6:$A$205,0)),"")</f>
        <v/>
      </c>
      <c r="H37" s="25" t="str">
        <f aca="false">IF(OR(C37="",G37&lt;&gt;"stranger"),"",IF(C37=B37,1,0))</f>
        <v/>
      </c>
      <c r="I37" s="25" t="str">
        <f aca="false">IF(G37&lt;&gt;"stranger","",IF(B37="A",IF(ISNUMBER(D37),D37,""),IF(B37="B",IF(ISNUMBER(E37),E37,""),"")))</f>
        <v/>
      </c>
      <c r="J37" s="25" t="str">
        <f aca="false">IF(G37&lt;&gt;"stranger","",IF(B37="A",IF(ISNUMBER(E37),E37,""),IF(B37="B",IF(ISNUMBER(D37),D37,""),"")))</f>
        <v/>
      </c>
      <c r="K37" s="25" t="str">
        <f aca="false">IF(OR(C37="",G37&lt;&gt;"friends &amp; family"),"",IF(C37=B37,1,0))</f>
        <v/>
      </c>
    </row>
    <row r="38" customFormat="false" ht="15" hidden="false" customHeight="true" outlineLevel="0" collapsed="false">
      <c r="A38" s="9"/>
      <c r="B38" s="9"/>
      <c r="C38" s="9"/>
      <c r="D38" s="9"/>
      <c r="E38" s="9"/>
      <c r="F38" s="9"/>
      <c r="G38" s="25" t="str">
        <f aca="false">IFERROR(INDEX(Participants!$T$6:$T$205,MATCH(A38,Participants!$A$6:$A$205,0)),"")</f>
        <v/>
      </c>
      <c r="H38" s="25" t="str">
        <f aca="false">IF(OR(C38="",G38&lt;&gt;"stranger"),"",IF(C38=B38,1,0))</f>
        <v/>
      </c>
      <c r="I38" s="25" t="str">
        <f aca="false">IF(G38&lt;&gt;"stranger","",IF(B38="A",IF(ISNUMBER(D38),D38,""),IF(B38="B",IF(ISNUMBER(E38),E38,""),"")))</f>
        <v/>
      </c>
      <c r="J38" s="25" t="str">
        <f aca="false">IF(G38&lt;&gt;"stranger","",IF(B38="A",IF(ISNUMBER(E38),E38,""),IF(B38="B",IF(ISNUMBER(D38),D38,""),"")))</f>
        <v/>
      </c>
      <c r="K38" s="25" t="str">
        <f aca="false">IF(OR(C38="",G38&lt;&gt;"friends &amp; family"),"",IF(C38=B38,1,0))</f>
        <v/>
      </c>
    </row>
    <row r="39" customFormat="false" ht="15" hidden="false" customHeight="true" outlineLevel="0" collapsed="false">
      <c r="A39" s="9"/>
      <c r="B39" s="9"/>
      <c r="C39" s="9"/>
      <c r="D39" s="9"/>
      <c r="E39" s="9"/>
      <c r="F39" s="9"/>
      <c r="G39" s="25" t="str">
        <f aca="false">IFERROR(INDEX(Participants!$T$6:$T$205,MATCH(A39,Participants!$A$6:$A$205,0)),"")</f>
        <v/>
      </c>
      <c r="H39" s="25" t="str">
        <f aca="false">IF(OR(C39="",G39&lt;&gt;"stranger"),"",IF(C39=B39,1,0))</f>
        <v/>
      </c>
      <c r="I39" s="25" t="str">
        <f aca="false">IF(G39&lt;&gt;"stranger","",IF(B39="A",IF(ISNUMBER(D39),D39,""),IF(B39="B",IF(ISNUMBER(E39),E39,""),"")))</f>
        <v/>
      </c>
      <c r="J39" s="25" t="str">
        <f aca="false">IF(G39&lt;&gt;"stranger","",IF(B39="A",IF(ISNUMBER(E39),E39,""),IF(B39="B",IF(ISNUMBER(D39),D39,""),"")))</f>
        <v/>
      </c>
      <c r="K39" s="25" t="str">
        <f aca="false">IF(OR(C39="",G39&lt;&gt;"friends &amp; family"),"",IF(C39=B39,1,0))</f>
        <v/>
      </c>
    </row>
    <row r="40" customFormat="false" ht="15" hidden="false" customHeight="true" outlineLevel="0" collapsed="false">
      <c r="A40" s="9"/>
      <c r="B40" s="9"/>
      <c r="C40" s="9"/>
      <c r="D40" s="9"/>
      <c r="E40" s="9"/>
      <c r="F40" s="9"/>
      <c r="G40" s="25" t="str">
        <f aca="false">IFERROR(INDEX(Participants!$T$6:$T$205,MATCH(A40,Participants!$A$6:$A$205,0)),"")</f>
        <v/>
      </c>
      <c r="H40" s="25" t="str">
        <f aca="false">IF(OR(C40="",G40&lt;&gt;"stranger"),"",IF(C40=B40,1,0))</f>
        <v/>
      </c>
      <c r="I40" s="25" t="str">
        <f aca="false">IF(G40&lt;&gt;"stranger","",IF(B40="A",IF(ISNUMBER(D40),D40,""),IF(B40="B",IF(ISNUMBER(E40),E40,""),"")))</f>
        <v/>
      </c>
      <c r="J40" s="25" t="str">
        <f aca="false">IF(G40&lt;&gt;"stranger","",IF(B40="A",IF(ISNUMBER(E40),E40,""),IF(B40="B",IF(ISNUMBER(D40),D40,""),"")))</f>
        <v/>
      </c>
      <c r="K40" s="25" t="str">
        <f aca="false">IF(OR(C40="",G40&lt;&gt;"friends &amp; family"),"",IF(C40=B40,1,0))</f>
        <v/>
      </c>
    </row>
    <row r="41" customFormat="false" ht="15" hidden="false" customHeight="true" outlineLevel="0" collapsed="false">
      <c r="A41" s="9"/>
      <c r="B41" s="9"/>
      <c r="C41" s="9"/>
      <c r="D41" s="9"/>
      <c r="E41" s="9"/>
      <c r="F41" s="9"/>
      <c r="G41" s="25" t="str">
        <f aca="false">IFERROR(INDEX(Participants!$T$6:$T$205,MATCH(A41,Participants!$A$6:$A$205,0)),"")</f>
        <v/>
      </c>
      <c r="H41" s="25" t="str">
        <f aca="false">IF(OR(C41="",G41&lt;&gt;"stranger"),"",IF(C41=B41,1,0))</f>
        <v/>
      </c>
      <c r="I41" s="25" t="str">
        <f aca="false">IF(G41&lt;&gt;"stranger","",IF(B41="A",IF(ISNUMBER(D41),D41,""),IF(B41="B",IF(ISNUMBER(E41),E41,""),"")))</f>
        <v/>
      </c>
      <c r="J41" s="25" t="str">
        <f aca="false">IF(G41&lt;&gt;"stranger","",IF(B41="A",IF(ISNUMBER(E41),E41,""),IF(B41="B",IF(ISNUMBER(D41),D41,""),"")))</f>
        <v/>
      </c>
      <c r="K41" s="25" t="str">
        <f aca="false">IF(OR(C41="",G41&lt;&gt;"friends &amp; family"),"",IF(C41=B41,1,0))</f>
        <v/>
      </c>
    </row>
    <row r="42" customFormat="false" ht="15" hidden="false" customHeight="true" outlineLevel="0" collapsed="false">
      <c r="A42" s="9"/>
      <c r="B42" s="9"/>
      <c r="C42" s="9"/>
      <c r="D42" s="9"/>
      <c r="E42" s="9"/>
      <c r="F42" s="9"/>
      <c r="G42" s="25" t="str">
        <f aca="false">IFERROR(INDEX(Participants!$T$6:$T$205,MATCH(A42,Participants!$A$6:$A$205,0)),"")</f>
        <v/>
      </c>
      <c r="H42" s="25" t="str">
        <f aca="false">IF(OR(C42="",G42&lt;&gt;"stranger"),"",IF(C42=B42,1,0))</f>
        <v/>
      </c>
      <c r="I42" s="25" t="str">
        <f aca="false">IF(G42&lt;&gt;"stranger","",IF(B42="A",IF(ISNUMBER(D42),D42,""),IF(B42="B",IF(ISNUMBER(E42),E42,""),"")))</f>
        <v/>
      </c>
      <c r="J42" s="25" t="str">
        <f aca="false">IF(G42&lt;&gt;"stranger","",IF(B42="A",IF(ISNUMBER(E42),E42,""),IF(B42="B",IF(ISNUMBER(D42),D42,""),"")))</f>
        <v/>
      </c>
      <c r="K42" s="25" t="str">
        <f aca="false">IF(OR(C42="",G42&lt;&gt;"friends &amp; family"),"",IF(C42=B42,1,0))</f>
        <v/>
      </c>
    </row>
    <row r="43" customFormat="false" ht="15" hidden="false" customHeight="true" outlineLevel="0" collapsed="false">
      <c r="A43" s="9"/>
      <c r="B43" s="9"/>
      <c r="C43" s="9"/>
      <c r="D43" s="9"/>
      <c r="E43" s="9"/>
      <c r="F43" s="9"/>
      <c r="G43" s="25" t="str">
        <f aca="false">IFERROR(INDEX(Participants!$T$6:$T$205,MATCH(A43,Participants!$A$6:$A$205,0)),"")</f>
        <v/>
      </c>
      <c r="H43" s="25" t="str">
        <f aca="false">IF(OR(C43="",G43&lt;&gt;"stranger"),"",IF(C43=B43,1,0))</f>
        <v/>
      </c>
      <c r="I43" s="25" t="str">
        <f aca="false">IF(G43&lt;&gt;"stranger","",IF(B43="A",IF(ISNUMBER(D43),D43,""),IF(B43="B",IF(ISNUMBER(E43),E43,""),"")))</f>
        <v/>
      </c>
      <c r="J43" s="25" t="str">
        <f aca="false">IF(G43&lt;&gt;"stranger","",IF(B43="A",IF(ISNUMBER(E43),E43,""),IF(B43="B",IF(ISNUMBER(D43),D43,""),"")))</f>
        <v/>
      </c>
      <c r="K43" s="25" t="str">
        <f aca="false">IF(OR(C43="",G43&lt;&gt;"friends &amp; family"),"",IF(C43=B43,1,0))</f>
        <v/>
      </c>
    </row>
    <row r="44" customFormat="false" ht="15" hidden="false" customHeight="true" outlineLevel="0" collapsed="false">
      <c r="A44" s="9"/>
      <c r="B44" s="9"/>
      <c r="C44" s="9"/>
      <c r="D44" s="9"/>
      <c r="E44" s="9"/>
      <c r="F44" s="9"/>
      <c r="G44" s="25" t="str">
        <f aca="false">IFERROR(INDEX(Participants!$T$6:$T$205,MATCH(A44,Participants!$A$6:$A$205,0)),"")</f>
        <v/>
      </c>
      <c r="H44" s="25" t="str">
        <f aca="false">IF(OR(C44="",G44&lt;&gt;"stranger"),"",IF(C44=B44,1,0))</f>
        <v/>
      </c>
      <c r="I44" s="25" t="str">
        <f aca="false">IF(G44&lt;&gt;"stranger","",IF(B44="A",IF(ISNUMBER(D44),D44,""),IF(B44="B",IF(ISNUMBER(E44),E44,""),"")))</f>
        <v/>
      </c>
      <c r="J44" s="25" t="str">
        <f aca="false">IF(G44&lt;&gt;"stranger","",IF(B44="A",IF(ISNUMBER(E44),E44,""),IF(B44="B",IF(ISNUMBER(D44),D44,""),"")))</f>
        <v/>
      </c>
      <c r="K44" s="25" t="str">
        <f aca="false">IF(OR(C44="",G44&lt;&gt;"friends &amp; family"),"",IF(C44=B44,1,0))</f>
        <v/>
      </c>
    </row>
    <row r="45" customFormat="false" ht="15" hidden="false" customHeight="true" outlineLevel="0" collapsed="false">
      <c r="A45" s="9"/>
      <c r="B45" s="9"/>
      <c r="C45" s="9"/>
      <c r="D45" s="9"/>
      <c r="E45" s="9"/>
      <c r="F45" s="9"/>
      <c r="G45" s="25" t="str">
        <f aca="false">IFERROR(INDEX(Participants!$T$6:$T$205,MATCH(A45,Participants!$A$6:$A$205,0)),"")</f>
        <v/>
      </c>
      <c r="H45" s="25" t="str">
        <f aca="false">IF(OR(C45="",G45&lt;&gt;"stranger"),"",IF(C45=B45,1,0))</f>
        <v/>
      </c>
      <c r="I45" s="25" t="str">
        <f aca="false">IF(G45&lt;&gt;"stranger","",IF(B45="A",IF(ISNUMBER(D45),D45,""),IF(B45="B",IF(ISNUMBER(E45),E45,""),"")))</f>
        <v/>
      </c>
      <c r="J45" s="25" t="str">
        <f aca="false">IF(G45&lt;&gt;"stranger","",IF(B45="A",IF(ISNUMBER(E45),E45,""),IF(B45="B",IF(ISNUMBER(D45),D45,""),"")))</f>
        <v/>
      </c>
      <c r="K45" s="25" t="str">
        <f aca="false">IF(OR(C45="",G45&lt;&gt;"friends &amp; family"),"",IF(C45=B45,1,0))</f>
        <v/>
      </c>
    </row>
    <row r="46" customFormat="false" ht="15" hidden="false" customHeight="true" outlineLevel="0" collapsed="false">
      <c r="A46" s="9"/>
      <c r="B46" s="9"/>
      <c r="C46" s="9"/>
      <c r="D46" s="9"/>
      <c r="E46" s="9"/>
      <c r="F46" s="9"/>
      <c r="G46" s="25" t="str">
        <f aca="false">IFERROR(INDEX(Participants!$T$6:$T$205,MATCH(A46,Participants!$A$6:$A$205,0)),"")</f>
        <v/>
      </c>
      <c r="H46" s="25" t="str">
        <f aca="false">IF(OR(C46="",G46&lt;&gt;"stranger"),"",IF(C46=B46,1,0))</f>
        <v/>
      </c>
      <c r="I46" s="25" t="str">
        <f aca="false">IF(G46&lt;&gt;"stranger","",IF(B46="A",IF(ISNUMBER(D46),D46,""),IF(B46="B",IF(ISNUMBER(E46),E46,""),"")))</f>
        <v/>
      </c>
      <c r="J46" s="25" t="str">
        <f aca="false">IF(G46&lt;&gt;"stranger","",IF(B46="A",IF(ISNUMBER(E46),E46,""),IF(B46="B",IF(ISNUMBER(D46),D46,""),"")))</f>
        <v/>
      </c>
      <c r="K46" s="25" t="str">
        <f aca="false">IF(OR(C46="",G46&lt;&gt;"friends &amp; family"),"",IF(C46=B46,1,0))</f>
        <v/>
      </c>
    </row>
    <row r="47" customFormat="false" ht="15" hidden="false" customHeight="true" outlineLevel="0" collapsed="false">
      <c r="A47" s="9"/>
      <c r="B47" s="9"/>
      <c r="C47" s="9"/>
      <c r="D47" s="9"/>
      <c r="E47" s="9"/>
      <c r="F47" s="9"/>
      <c r="G47" s="25" t="str">
        <f aca="false">IFERROR(INDEX(Participants!$T$6:$T$205,MATCH(A47,Participants!$A$6:$A$205,0)),"")</f>
        <v/>
      </c>
      <c r="H47" s="25" t="str">
        <f aca="false">IF(OR(C47="",G47&lt;&gt;"stranger"),"",IF(C47=B47,1,0))</f>
        <v/>
      </c>
      <c r="I47" s="25" t="str">
        <f aca="false">IF(G47&lt;&gt;"stranger","",IF(B47="A",IF(ISNUMBER(D47),D47,""),IF(B47="B",IF(ISNUMBER(E47),E47,""),"")))</f>
        <v/>
      </c>
      <c r="J47" s="25" t="str">
        <f aca="false">IF(G47&lt;&gt;"stranger","",IF(B47="A",IF(ISNUMBER(E47),E47,""),IF(B47="B",IF(ISNUMBER(D47),D47,""),"")))</f>
        <v/>
      </c>
      <c r="K47" s="25" t="str">
        <f aca="false">IF(OR(C47="",G47&lt;&gt;"friends &amp; family"),"",IF(C47=B47,1,0))</f>
        <v/>
      </c>
    </row>
    <row r="48" customFormat="false" ht="15" hidden="false" customHeight="true" outlineLevel="0" collapsed="false">
      <c r="A48" s="9"/>
      <c r="B48" s="9"/>
      <c r="C48" s="9"/>
      <c r="D48" s="9"/>
      <c r="E48" s="9"/>
      <c r="F48" s="9"/>
      <c r="G48" s="25" t="str">
        <f aca="false">IFERROR(INDEX(Participants!$T$6:$T$205,MATCH(A48,Participants!$A$6:$A$205,0)),"")</f>
        <v/>
      </c>
      <c r="H48" s="25" t="str">
        <f aca="false">IF(OR(C48="",G48&lt;&gt;"stranger"),"",IF(C48=B48,1,0))</f>
        <v/>
      </c>
      <c r="I48" s="25" t="str">
        <f aca="false">IF(G48&lt;&gt;"stranger","",IF(B48="A",IF(ISNUMBER(D48),D48,""),IF(B48="B",IF(ISNUMBER(E48),E48,""),"")))</f>
        <v/>
      </c>
      <c r="J48" s="25" t="str">
        <f aca="false">IF(G48&lt;&gt;"stranger","",IF(B48="A",IF(ISNUMBER(E48),E48,""),IF(B48="B",IF(ISNUMBER(D48),D48,""),"")))</f>
        <v/>
      </c>
      <c r="K48" s="25" t="str">
        <f aca="false">IF(OR(C48="",G48&lt;&gt;"friends &amp; family"),"",IF(C48=B48,1,0))</f>
        <v/>
      </c>
    </row>
    <row r="49" customFormat="false" ht="15" hidden="false" customHeight="true" outlineLevel="0" collapsed="false">
      <c r="A49" s="9"/>
      <c r="B49" s="9"/>
      <c r="C49" s="9"/>
      <c r="D49" s="9"/>
      <c r="E49" s="9"/>
      <c r="F49" s="9"/>
      <c r="G49" s="25" t="str">
        <f aca="false">IFERROR(INDEX(Participants!$T$6:$T$205,MATCH(A49,Participants!$A$6:$A$205,0)),"")</f>
        <v/>
      </c>
      <c r="H49" s="25" t="str">
        <f aca="false">IF(OR(C49="",G49&lt;&gt;"stranger"),"",IF(C49=B49,1,0))</f>
        <v/>
      </c>
      <c r="I49" s="25" t="str">
        <f aca="false">IF(G49&lt;&gt;"stranger","",IF(B49="A",IF(ISNUMBER(D49),D49,""),IF(B49="B",IF(ISNUMBER(E49),E49,""),"")))</f>
        <v/>
      </c>
      <c r="J49" s="25" t="str">
        <f aca="false">IF(G49&lt;&gt;"stranger","",IF(B49="A",IF(ISNUMBER(E49),E49,""),IF(B49="B",IF(ISNUMBER(D49),D49,""),"")))</f>
        <v/>
      </c>
      <c r="K49" s="25" t="str">
        <f aca="false">IF(OR(C49="",G49&lt;&gt;"friends &amp; family"),"",IF(C49=B49,1,0))</f>
        <v/>
      </c>
    </row>
    <row r="50" customFormat="false" ht="15" hidden="false" customHeight="true" outlineLevel="0" collapsed="false">
      <c r="A50" s="9"/>
      <c r="B50" s="9"/>
      <c r="C50" s="9"/>
      <c r="D50" s="9"/>
      <c r="E50" s="9"/>
      <c r="F50" s="9"/>
      <c r="G50" s="25" t="str">
        <f aca="false">IFERROR(INDEX(Participants!$T$6:$T$205,MATCH(A50,Participants!$A$6:$A$205,0)),"")</f>
        <v/>
      </c>
      <c r="H50" s="25" t="str">
        <f aca="false">IF(OR(C50="",G50&lt;&gt;"stranger"),"",IF(C50=B50,1,0))</f>
        <v/>
      </c>
      <c r="I50" s="25" t="str">
        <f aca="false">IF(G50&lt;&gt;"stranger","",IF(B50="A",IF(ISNUMBER(D50),D50,""),IF(B50="B",IF(ISNUMBER(E50),E50,""),"")))</f>
        <v/>
      </c>
      <c r="J50" s="25" t="str">
        <f aca="false">IF(G50&lt;&gt;"stranger","",IF(B50="A",IF(ISNUMBER(E50),E50,""),IF(B50="B",IF(ISNUMBER(D50),D50,""),"")))</f>
        <v/>
      </c>
      <c r="K50" s="25" t="str">
        <f aca="false">IF(OR(C50="",G50&lt;&gt;"friends &amp; family"),"",IF(C50=B50,1,0))</f>
        <v/>
      </c>
    </row>
    <row r="51" customFormat="false" ht="15" hidden="false" customHeight="true" outlineLevel="0" collapsed="false">
      <c r="A51" s="9"/>
      <c r="B51" s="9"/>
      <c r="C51" s="9"/>
      <c r="D51" s="9"/>
      <c r="E51" s="9"/>
      <c r="F51" s="9"/>
      <c r="G51" s="25" t="str">
        <f aca="false">IFERROR(INDEX(Participants!$T$6:$T$205,MATCH(A51,Participants!$A$6:$A$205,0)),"")</f>
        <v/>
      </c>
      <c r="H51" s="25" t="str">
        <f aca="false">IF(OR(C51="",G51&lt;&gt;"stranger"),"",IF(C51=B51,1,0))</f>
        <v/>
      </c>
      <c r="I51" s="25" t="str">
        <f aca="false">IF(G51&lt;&gt;"stranger","",IF(B51="A",IF(ISNUMBER(D51),D51,""),IF(B51="B",IF(ISNUMBER(E51),E51,""),"")))</f>
        <v/>
      </c>
      <c r="J51" s="25" t="str">
        <f aca="false">IF(G51&lt;&gt;"stranger","",IF(B51="A",IF(ISNUMBER(E51),E51,""),IF(B51="B",IF(ISNUMBER(D51),D51,""),"")))</f>
        <v/>
      </c>
      <c r="K51" s="25" t="str">
        <f aca="false">IF(OR(C51="",G51&lt;&gt;"friends &amp; family"),"",IF(C51=B51,1,0))</f>
        <v/>
      </c>
    </row>
    <row r="52" customFormat="false" ht="15" hidden="false" customHeight="true" outlineLevel="0" collapsed="false">
      <c r="A52" s="9"/>
      <c r="B52" s="9"/>
      <c r="C52" s="9"/>
      <c r="D52" s="9"/>
      <c r="E52" s="9"/>
      <c r="F52" s="9"/>
      <c r="G52" s="25" t="str">
        <f aca="false">IFERROR(INDEX(Participants!$T$6:$T$205,MATCH(A52,Participants!$A$6:$A$205,0)),"")</f>
        <v/>
      </c>
      <c r="H52" s="25" t="str">
        <f aca="false">IF(OR(C52="",G52&lt;&gt;"stranger"),"",IF(C52=B52,1,0))</f>
        <v/>
      </c>
      <c r="I52" s="25" t="str">
        <f aca="false">IF(G52&lt;&gt;"stranger","",IF(B52="A",IF(ISNUMBER(D52),D52,""),IF(B52="B",IF(ISNUMBER(E52),E52,""),"")))</f>
        <v/>
      </c>
      <c r="J52" s="25" t="str">
        <f aca="false">IF(G52&lt;&gt;"stranger","",IF(B52="A",IF(ISNUMBER(E52),E52,""),IF(B52="B",IF(ISNUMBER(D52),D52,""),"")))</f>
        <v/>
      </c>
      <c r="K52" s="25" t="str">
        <f aca="false">IF(OR(C52="",G52&lt;&gt;"friends &amp; family"),"",IF(C52=B52,1,0))</f>
        <v/>
      </c>
    </row>
    <row r="53" customFormat="false" ht="15" hidden="false" customHeight="true" outlineLevel="0" collapsed="false">
      <c r="A53" s="9"/>
      <c r="B53" s="9"/>
      <c r="C53" s="9"/>
      <c r="D53" s="9"/>
      <c r="E53" s="9"/>
      <c r="F53" s="9"/>
      <c r="G53" s="25" t="str">
        <f aca="false">IFERROR(INDEX(Participants!$T$6:$T$205,MATCH(A53,Participants!$A$6:$A$205,0)),"")</f>
        <v/>
      </c>
      <c r="H53" s="25" t="str">
        <f aca="false">IF(OR(C53="",G53&lt;&gt;"stranger"),"",IF(C53=B53,1,0))</f>
        <v/>
      </c>
      <c r="I53" s="25" t="str">
        <f aca="false">IF(G53&lt;&gt;"stranger","",IF(B53="A",IF(ISNUMBER(D53),D53,""),IF(B53="B",IF(ISNUMBER(E53),E53,""),"")))</f>
        <v/>
      </c>
      <c r="J53" s="25" t="str">
        <f aca="false">IF(G53&lt;&gt;"stranger","",IF(B53="A",IF(ISNUMBER(E53),E53,""),IF(B53="B",IF(ISNUMBER(D53),D53,""),"")))</f>
        <v/>
      </c>
      <c r="K53" s="25" t="str">
        <f aca="false">IF(OR(C53="",G53&lt;&gt;"friends &amp; family"),"",IF(C53=B53,1,0))</f>
        <v/>
      </c>
    </row>
    <row r="54" customFormat="false" ht="15" hidden="false" customHeight="true" outlineLevel="0" collapsed="false">
      <c r="A54" s="9"/>
      <c r="B54" s="9"/>
      <c r="C54" s="9"/>
      <c r="D54" s="9"/>
      <c r="E54" s="9"/>
      <c r="F54" s="9"/>
      <c r="G54" s="25" t="str">
        <f aca="false">IFERROR(INDEX(Participants!$T$6:$T$205,MATCH(A54,Participants!$A$6:$A$205,0)),"")</f>
        <v/>
      </c>
      <c r="H54" s="25" t="str">
        <f aca="false">IF(OR(C54="",G54&lt;&gt;"stranger"),"",IF(C54=B54,1,0))</f>
        <v/>
      </c>
      <c r="I54" s="25" t="str">
        <f aca="false">IF(G54&lt;&gt;"stranger","",IF(B54="A",IF(ISNUMBER(D54),D54,""),IF(B54="B",IF(ISNUMBER(E54),E54,""),"")))</f>
        <v/>
      </c>
      <c r="J54" s="25" t="str">
        <f aca="false">IF(G54&lt;&gt;"stranger","",IF(B54="A",IF(ISNUMBER(E54),E54,""),IF(B54="B",IF(ISNUMBER(D54),D54,""),"")))</f>
        <v/>
      </c>
      <c r="K54" s="25" t="str">
        <f aca="false">IF(OR(C54="",G54&lt;&gt;"friends &amp; family"),"",IF(C54=B54,1,0))</f>
        <v/>
      </c>
    </row>
    <row r="55" customFormat="false" ht="15" hidden="false" customHeight="true" outlineLevel="0" collapsed="false">
      <c r="A55" s="9"/>
      <c r="B55" s="9"/>
      <c r="C55" s="9"/>
      <c r="D55" s="9"/>
      <c r="E55" s="9"/>
      <c r="F55" s="9"/>
      <c r="G55" s="25" t="str">
        <f aca="false">IFERROR(INDEX(Participants!$T$6:$T$205,MATCH(A55,Participants!$A$6:$A$205,0)),"")</f>
        <v/>
      </c>
      <c r="H55" s="25" t="str">
        <f aca="false">IF(OR(C55="",G55&lt;&gt;"stranger"),"",IF(C55=B55,1,0))</f>
        <v/>
      </c>
      <c r="I55" s="25" t="str">
        <f aca="false">IF(G55&lt;&gt;"stranger","",IF(B55="A",IF(ISNUMBER(D55),D55,""),IF(B55="B",IF(ISNUMBER(E55),E55,""),"")))</f>
        <v/>
      </c>
      <c r="J55" s="25" t="str">
        <f aca="false">IF(G55&lt;&gt;"stranger","",IF(B55="A",IF(ISNUMBER(E55),E55,""),IF(B55="B",IF(ISNUMBER(D55),D55,""),"")))</f>
        <v/>
      </c>
      <c r="K55" s="25" t="str">
        <f aca="false">IF(OR(C55="",G55&lt;&gt;"friends &amp; family"),"",IF(C55=B55,1,0))</f>
        <v/>
      </c>
    </row>
    <row r="56" customFormat="false" ht="15" hidden="false" customHeight="true" outlineLevel="0" collapsed="false">
      <c r="A56" s="9"/>
      <c r="B56" s="9"/>
      <c r="C56" s="9"/>
      <c r="D56" s="9"/>
      <c r="E56" s="9"/>
      <c r="F56" s="9"/>
      <c r="G56" s="25" t="str">
        <f aca="false">IFERROR(INDEX(Participants!$T$6:$T$205,MATCH(A56,Participants!$A$6:$A$205,0)),"")</f>
        <v/>
      </c>
      <c r="H56" s="25" t="str">
        <f aca="false">IF(OR(C56="",G56&lt;&gt;"stranger"),"",IF(C56=B56,1,0))</f>
        <v/>
      </c>
      <c r="I56" s="25" t="str">
        <f aca="false">IF(G56&lt;&gt;"stranger","",IF(B56="A",IF(ISNUMBER(D56),D56,""),IF(B56="B",IF(ISNUMBER(E56),E56,""),"")))</f>
        <v/>
      </c>
      <c r="J56" s="25" t="str">
        <f aca="false">IF(G56&lt;&gt;"stranger","",IF(B56="A",IF(ISNUMBER(E56),E56,""),IF(B56="B",IF(ISNUMBER(D56),D56,""),"")))</f>
        <v/>
      </c>
      <c r="K56" s="25" t="str">
        <f aca="false">IF(OR(C56="",G56&lt;&gt;"friends &amp; family"),"",IF(C56=B56,1,0))</f>
        <v/>
      </c>
    </row>
    <row r="57" customFormat="false" ht="15" hidden="false" customHeight="true" outlineLevel="0" collapsed="false">
      <c r="A57" s="9"/>
      <c r="B57" s="9"/>
      <c r="C57" s="9"/>
      <c r="D57" s="9"/>
      <c r="E57" s="9"/>
      <c r="F57" s="9"/>
      <c r="G57" s="25" t="str">
        <f aca="false">IFERROR(INDEX(Participants!$T$6:$T$205,MATCH(A57,Participants!$A$6:$A$205,0)),"")</f>
        <v/>
      </c>
      <c r="H57" s="25" t="str">
        <f aca="false">IF(OR(C57="",G57&lt;&gt;"stranger"),"",IF(C57=B57,1,0))</f>
        <v/>
      </c>
      <c r="I57" s="25" t="str">
        <f aca="false">IF(G57&lt;&gt;"stranger","",IF(B57="A",IF(ISNUMBER(D57),D57,""),IF(B57="B",IF(ISNUMBER(E57),E57,""),"")))</f>
        <v/>
      </c>
      <c r="J57" s="25" t="str">
        <f aca="false">IF(G57&lt;&gt;"stranger","",IF(B57="A",IF(ISNUMBER(E57),E57,""),IF(B57="B",IF(ISNUMBER(D57),D57,""),"")))</f>
        <v/>
      </c>
      <c r="K57" s="25" t="str">
        <f aca="false">IF(OR(C57="",G57&lt;&gt;"friends &amp; family"),"",IF(C57=B57,1,0))</f>
        <v/>
      </c>
    </row>
    <row r="58" customFormat="false" ht="15" hidden="false" customHeight="true" outlineLevel="0" collapsed="false">
      <c r="A58" s="9"/>
      <c r="B58" s="9"/>
      <c r="C58" s="9"/>
      <c r="D58" s="9"/>
      <c r="E58" s="9"/>
      <c r="F58" s="9"/>
      <c r="G58" s="25" t="str">
        <f aca="false">IFERROR(INDEX(Participants!$T$6:$T$205,MATCH(A58,Participants!$A$6:$A$205,0)),"")</f>
        <v/>
      </c>
      <c r="H58" s="25" t="str">
        <f aca="false">IF(OR(C58="",G58&lt;&gt;"stranger"),"",IF(C58=B58,1,0))</f>
        <v/>
      </c>
      <c r="I58" s="25" t="str">
        <f aca="false">IF(G58&lt;&gt;"stranger","",IF(B58="A",IF(ISNUMBER(D58),D58,""),IF(B58="B",IF(ISNUMBER(E58),E58,""),"")))</f>
        <v/>
      </c>
      <c r="J58" s="25" t="str">
        <f aca="false">IF(G58&lt;&gt;"stranger","",IF(B58="A",IF(ISNUMBER(E58),E58,""),IF(B58="B",IF(ISNUMBER(D58),D58,""),"")))</f>
        <v/>
      </c>
      <c r="K58" s="25" t="str">
        <f aca="false">IF(OR(C58="",G58&lt;&gt;"friends &amp; family"),"",IF(C58=B58,1,0))</f>
        <v/>
      </c>
    </row>
    <row r="59" customFormat="false" ht="15" hidden="false" customHeight="true" outlineLevel="0" collapsed="false">
      <c r="A59" s="9"/>
      <c r="B59" s="9"/>
      <c r="C59" s="9"/>
      <c r="D59" s="9"/>
      <c r="E59" s="9"/>
      <c r="F59" s="9"/>
      <c r="G59" s="25" t="str">
        <f aca="false">IFERROR(INDEX(Participants!$T$6:$T$205,MATCH(A59,Participants!$A$6:$A$205,0)),"")</f>
        <v/>
      </c>
      <c r="H59" s="25" t="str">
        <f aca="false">IF(OR(C59="",G59&lt;&gt;"stranger"),"",IF(C59=B59,1,0))</f>
        <v/>
      </c>
      <c r="I59" s="25" t="str">
        <f aca="false">IF(G59&lt;&gt;"stranger","",IF(B59="A",IF(ISNUMBER(D59),D59,""),IF(B59="B",IF(ISNUMBER(E59),E59,""),"")))</f>
        <v/>
      </c>
      <c r="J59" s="25" t="str">
        <f aca="false">IF(G59&lt;&gt;"stranger","",IF(B59="A",IF(ISNUMBER(E59),E59,""),IF(B59="B",IF(ISNUMBER(D59),D59,""),"")))</f>
        <v/>
      </c>
      <c r="K59" s="25" t="str">
        <f aca="false">IF(OR(C59="",G59&lt;&gt;"friends &amp; family"),"",IF(C59=B59,1,0))</f>
        <v/>
      </c>
    </row>
    <row r="60" customFormat="false" ht="15" hidden="false" customHeight="true" outlineLevel="0" collapsed="false">
      <c r="A60" s="9"/>
      <c r="B60" s="9"/>
      <c r="C60" s="9"/>
      <c r="D60" s="9"/>
      <c r="E60" s="9"/>
      <c r="F60" s="9"/>
      <c r="G60" s="25" t="str">
        <f aca="false">IFERROR(INDEX(Participants!$T$6:$T$205,MATCH(A60,Participants!$A$6:$A$205,0)),"")</f>
        <v/>
      </c>
      <c r="H60" s="25" t="str">
        <f aca="false">IF(OR(C60="",G60&lt;&gt;"stranger"),"",IF(C60=B60,1,0))</f>
        <v/>
      </c>
      <c r="I60" s="25" t="str">
        <f aca="false">IF(G60&lt;&gt;"stranger","",IF(B60="A",IF(ISNUMBER(D60),D60,""),IF(B60="B",IF(ISNUMBER(E60),E60,""),"")))</f>
        <v/>
      </c>
      <c r="J60" s="25" t="str">
        <f aca="false">IF(G60&lt;&gt;"stranger","",IF(B60="A",IF(ISNUMBER(E60),E60,""),IF(B60="B",IF(ISNUMBER(D60),D60,""),"")))</f>
        <v/>
      </c>
      <c r="K60" s="25" t="str">
        <f aca="false">IF(OR(C60="",G60&lt;&gt;"friends &amp; family"),"",IF(C60=B60,1,0))</f>
        <v/>
      </c>
    </row>
    <row r="61" customFormat="false" ht="15" hidden="false" customHeight="true" outlineLevel="0" collapsed="false">
      <c r="A61" s="9"/>
      <c r="B61" s="9"/>
      <c r="C61" s="9"/>
      <c r="D61" s="9"/>
      <c r="E61" s="9"/>
      <c r="F61" s="9"/>
      <c r="G61" s="25" t="str">
        <f aca="false">IFERROR(INDEX(Participants!$T$6:$T$205,MATCH(A61,Participants!$A$6:$A$205,0)),"")</f>
        <v/>
      </c>
      <c r="H61" s="25" t="str">
        <f aca="false">IF(OR(C61="",G61&lt;&gt;"stranger"),"",IF(C61=B61,1,0))</f>
        <v/>
      </c>
      <c r="I61" s="25" t="str">
        <f aca="false">IF(G61&lt;&gt;"stranger","",IF(B61="A",IF(ISNUMBER(D61),D61,""),IF(B61="B",IF(ISNUMBER(E61),E61,""),"")))</f>
        <v/>
      </c>
      <c r="J61" s="25" t="str">
        <f aca="false">IF(G61&lt;&gt;"stranger","",IF(B61="A",IF(ISNUMBER(E61),E61,""),IF(B61="B",IF(ISNUMBER(D61),D61,""),"")))</f>
        <v/>
      </c>
      <c r="K61" s="25" t="str">
        <f aca="false">IF(OR(C61="",G61&lt;&gt;"friends &amp; family"),"",IF(C61=B61,1,0))</f>
        <v/>
      </c>
    </row>
    <row r="62" customFormat="false" ht="15" hidden="false" customHeight="true" outlineLevel="0" collapsed="false">
      <c r="A62" s="9"/>
      <c r="B62" s="9"/>
      <c r="C62" s="9"/>
      <c r="D62" s="9"/>
      <c r="E62" s="9"/>
      <c r="F62" s="9"/>
      <c r="G62" s="25" t="str">
        <f aca="false">IFERROR(INDEX(Participants!$T$6:$T$205,MATCH(A62,Participants!$A$6:$A$205,0)),"")</f>
        <v/>
      </c>
      <c r="H62" s="25" t="str">
        <f aca="false">IF(OR(C62="",G62&lt;&gt;"stranger"),"",IF(C62=B62,1,0))</f>
        <v/>
      </c>
      <c r="I62" s="25" t="str">
        <f aca="false">IF(G62&lt;&gt;"stranger","",IF(B62="A",IF(ISNUMBER(D62),D62,""),IF(B62="B",IF(ISNUMBER(E62),E62,""),"")))</f>
        <v/>
      </c>
      <c r="J62" s="25" t="str">
        <f aca="false">IF(G62&lt;&gt;"stranger","",IF(B62="A",IF(ISNUMBER(E62),E62,""),IF(B62="B",IF(ISNUMBER(D62),D62,""),"")))</f>
        <v/>
      </c>
      <c r="K62" s="25" t="str">
        <f aca="false">IF(OR(C62="",G62&lt;&gt;"friends &amp; family"),"",IF(C62=B62,1,0))</f>
        <v/>
      </c>
    </row>
    <row r="63" customFormat="false" ht="15" hidden="false" customHeight="true" outlineLevel="0" collapsed="false">
      <c r="A63" s="9"/>
      <c r="B63" s="9"/>
      <c r="C63" s="9"/>
      <c r="D63" s="9"/>
      <c r="E63" s="9"/>
      <c r="F63" s="9"/>
      <c r="G63" s="25" t="str">
        <f aca="false">IFERROR(INDEX(Participants!$T$6:$T$205,MATCH(A63,Participants!$A$6:$A$205,0)),"")</f>
        <v/>
      </c>
      <c r="H63" s="25" t="str">
        <f aca="false">IF(OR(C63="",G63&lt;&gt;"stranger"),"",IF(C63=B63,1,0))</f>
        <v/>
      </c>
      <c r="I63" s="25" t="str">
        <f aca="false">IF(G63&lt;&gt;"stranger","",IF(B63="A",IF(ISNUMBER(D63),D63,""),IF(B63="B",IF(ISNUMBER(E63),E63,""),"")))</f>
        <v/>
      </c>
      <c r="J63" s="25" t="str">
        <f aca="false">IF(G63&lt;&gt;"stranger","",IF(B63="A",IF(ISNUMBER(E63),E63,""),IF(B63="B",IF(ISNUMBER(D63),D63,""),"")))</f>
        <v/>
      </c>
      <c r="K63" s="25" t="str">
        <f aca="false">IF(OR(C63="",G63&lt;&gt;"friends &amp; family"),"",IF(C63=B63,1,0))</f>
        <v/>
      </c>
    </row>
    <row r="64" customFormat="false" ht="15" hidden="false" customHeight="true" outlineLevel="0" collapsed="false">
      <c r="A64" s="9"/>
      <c r="B64" s="9"/>
      <c r="C64" s="9"/>
      <c r="D64" s="9"/>
      <c r="E64" s="9"/>
      <c r="F64" s="9"/>
      <c r="G64" s="25" t="str">
        <f aca="false">IFERROR(INDEX(Participants!$T$6:$T$205,MATCH(A64,Participants!$A$6:$A$205,0)),"")</f>
        <v/>
      </c>
      <c r="H64" s="25" t="str">
        <f aca="false">IF(OR(C64="",G64&lt;&gt;"stranger"),"",IF(C64=B64,1,0))</f>
        <v/>
      </c>
      <c r="I64" s="25" t="str">
        <f aca="false">IF(G64&lt;&gt;"stranger","",IF(B64="A",IF(ISNUMBER(D64),D64,""),IF(B64="B",IF(ISNUMBER(E64),E64,""),"")))</f>
        <v/>
      </c>
      <c r="J64" s="25" t="str">
        <f aca="false">IF(G64&lt;&gt;"stranger","",IF(B64="A",IF(ISNUMBER(E64),E64,""),IF(B64="B",IF(ISNUMBER(D64),D64,""),"")))</f>
        <v/>
      </c>
      <c r="K64" s="25" t="str">
        <f aca="false">IF(OR(C64="",G64&lt;&gt;"friends &amp; family"),"",IF(C64=B64,1,0))</f>
        <v/>
      </c>
    </row>
    <row r="65" customFormat="false" ht="15" hidden="false" customHeight="true" outlineLevel="0" collapsed="false">
      <c r="A65" s="9"/>
      <c r="B65" s="9"/>
      <c r="C65" s="9"/>
      <c r="D65" s="9"/>
      <c r="E65" s="9"/>
      <c r="F65" s="9"/>
      <c r="G65" s="25" t="str">
        <f aca="false">IFERROR(INDEX(Participants!$T$6:$T$205,MATCH(A65,Participants!$A$6:$A$205,0)),"")</f>
        <v/>
      </c>
      <c r="H65" s="25" t="str">
        <f aca="false">IF(OR(C65="",G65&lt;&gt;"stranger"),"",IF(C65=B65,1,0))</f>
        <v/>
      </c>
      <c r="I65" s="25" t="str">
        <f aca="false">IF(G65&lt;&gt;"stranger","",IF(B65="A",IF(ISNUMBER(D65),D65,""),IF(B65="B",IF(ISNUMBER(E65),E65,""),"")))</f>
        <v/>
      </c>
      <c r="J65" s="25" t="str">
        <f aca="false">IF(G65&lt;&gt;"stranger","",IF(B65="A",IF(ISNUMBER(E65),E65,""),IF(B65="B",IF(ISNUMBER(D65),D65,""),"")))</f>
        <v/>
      </c>
      <c r="K65" s="25" t="str">
        <f aca="false">IF(OR(C65="",G65&lt;&gt;"friends &amp; family"),"",IF(C65=B65,1,0))</f>
        <v/>
      </c>
    </row>
    <row r="66" customFormat="false" ht="15" hidden="false" customHeight="true" outlineLevel="0" collapsed="false">
      <c r="A66" s="9"/>
      <c r="B66" s="9"/>
      <c r="C66" s="9"/>
      <c r="D66" s="9"/>
      <c r="E66" s="9"/>
      <c r="F66" s="9"/>
      <c r="G66" s="25" t="str">
        <f aca="false">IFERROR(INDEX(Participants!$T$6:$T$205,MATCH(A66,Participants!$A$6:$A$205,0)),"")</f>
        <v/>
      </c>
      <c r="H66" s="25" t="str">
        <f aca="false">IF(OR(C66="",G66&lt;&gt;"stranger"),"",IF(C66=B66,1,0))</f>
        <v/>
      </c>
      <c r="I66" s="25" t="str">
        <f aca="false">IF(G66&lt;&gt;"stranger","",IF(B66="A",IF(ISNUMBER(D66),D66,""),IF(B66="B",IF(ISNUMBER(E66),E66,""),"")))</f>
        <v/>
      </c>
      <c r="J66" s="25" t="str">
        <f aca="false">IF(G66&lt;&gt;"stranger","",IF(B66="A",IF(ISNUMBER(E66),E66,""),IF(B66="B",IF(ISNUMBER(D66),D66,""),"")))</f>
        <v/>
      </c>
      <c r="K66" s="25" t="str">
        <f aca="false">IF(OR(C66="",G66&lt;&gt;"friends &amp; family"),"",IF(C66=B66,1,0))</f>
        <v/>
      </c>
    </row>
    <row r="67" customFormat="false" ht="15" hidden="false" customHeight="true" outlineLevel="0" collapsed="false">
      <c r="A67" s="9"/>
      <c r="B67" s="9"/>
      <c r="C67" s="9"/>
      <c r="D67" s="9"/>
      <c r="E67" s="9"/>
      <c r="F67" s="9"/>
      <c r="G67" s="25" t="str">
        <f aca="false">IFERROR(INDEX(Participants!$T$6:$T$205,MATCH(A67,Participants!$A$6:$A$205,0)),"")</f>
        <v/>
      </c>
      <c r="H67" s="25" t="str">
        <f aca="false">IF(OR(C67="",G67&lt;&gt;"stranger"),"",IF(C67=B67,1,0))</f>
        <v/>
      </c>
      <c r="I67" s="25" t="str">
        <f aca="false">IF(G67&lt;&gt;"stranger","",IF(B67="A",IF(ISNUMBER(D67),D67,""),IF(B67="B",IF(ISNUMBER(E67),E67,""),"")))</f>
        <v/>
      </c>
      <c r="J67" s="25" t="str">
        <f aca="false">IF(G67&lt;&gt;"stranger","",IF(B67="A",IF(ISNUMBER(E67),E67,""),IF(B67="B",IF(ISNUMBER(D67),D67,""),"")))</f>
        <v/>
      </c>
      <c r="K67" s="25" t="str">
        <f aca="false">IF(OR(C67="",G67&lt;&gt;"friends &amp; family"),"",IF(C67=B67,1,0))</f>
        <v/>
      </c>
    </row>
    <row r="68" customFormat="false" ht="15" hidden="false" customHeight="true" outlineLevel="0" collapsed="false">
      <c r="A68" s="9"/>
      <c r="B68" s="9"/>
      <c r="C68" s="9"/>
      <c r="D68" s="9"/>
      <c r="E68" s="9"/>
      <c r="F68" s="9"/>
      <c r="G68" s="25" t="str">
        <f aca="false">IFERROR(INDEX(Participants!$T$6:$T$205,MATCH(A68,Participants!$A$6:$A$205,0)),"")</f>
        <v/>
      </c>
      <c r="H68" s="25" t="str">
        <f aca="false">IF(OR(C68="",G68&lt;&gt;"stranger"),"",IF(C68=B68,1,0))</f>
        <v/>
      </c>
      <c r="I68" s="25" t="str">
        <f aca="false">IF(G68&lt;&gt;"stranger","",IF(B68="A",IF(ISNUMBER(D68),D68,""),IF(B68="B",IF(ISNUMBER(E68),E68,""),"")))</f>
        <v/>
      </c>
      <c r="J68" s="25" t="str">
        <f aca="false">IF(G68&lt;&gt;"stranger","",IF(B68="A",IF(ISNUMBER(E68),E68,""),IF(B68="B",IF(ISNUMBER(D68),D68,""),"")))</f>
        <v/>
      </c>
      <c r="K68" s="25" t="str">
        <f aca="false">IF(OR(C68="",G68&lt;&gt;"friends &amp; family"),"",IF(C68=B68,1,0))</f>
        <v/>
      </c>
    </row>
    <row r="69" customFormat="false" ht="15" hidden="false" customHeight="true" outlineLevel="0" collapsed="false">
      <c r="A69" s="9"/>
      <c r="B69" s="9"/>
      <c r="C69" s="9"/>
      <c r="D69" s="9"/>
      <c r="E69" s="9"/>
      <c r="F69" s="9"/>
      <c r="G69" s="25" t="str">
        <f aca="false">IFERROR(INDEX(Participants!$T$6:$T$205,MATCH(A69,Participants!$A$6:$A$205,0)),"")</f>
        <v/>
      </c>
      <c r="H69" s="25" t="str">
        <f aca="false">IF(OR(C69="",G69&lt;&gt;"stranger"),"",IF(C69=B69,1,0))</f>
        <v/>
      </c>
      <c r="I69" s="25" t="str">
        <f aca="false">IF(G69&lt;&gt;"stranger","",IF(B69="A",IF(ISNUMBER(D69),D69,""),IF(B69="B",IF(ISNUMBER(E69),E69,""),"")))</f>
        <v/>
      </c>
      <c r="J69" s="25" t="str">
        <f aca="false">IF(G69&lt;&gt;"stranger","",IF(B69="A",IF(ISNUMBER(E69),E69,""),IF(B69="B",IF(ISNUMBER(D69),D69,""),"")))</f>
        <v/>
      </c>
      <c r="K69" s="25" t="str">
        <f aca="false">IF(OR(C69="",G69&lt;&gt;"friends &amp; family"),"",IF(C69=B69,1,0))</f>
        <v/>
      </c>
    </row>
    <row r="70" customFormat="false" ht="15" hidden="false" customHeight="true" outlineLevel="0" collapsed="false">
      <c r="A70" s="9"/>
      <c r="B70" s="9"/>
      <c r="C70" s="9"/>
      <c r="D70" s="9"/>
      <c r="E70" s="9"/>
      <c r="F70" s="9"/>
      <c r="G70" s="25" t="str">
        <f aca="false">IFERROR(INDEX(Participants!$T$6:$T$205,MATCH(A70,Participants!$A$6:$A$205,0)),"")</f>
        <v/>
      </c>
      <c r="H70" s="25" t="str">
        <f aca="false">IF(OR(C70="",G70&lt;&gt;"stranger"),"",IF(C70=B70,1,0))</f>
        <v/>
      </c>
      <c r="I70" s="25" t="str">
        <f aca="false">IF(G70&lt;&gt;"stranger","",IF(B70="A",IF(ISNUMBER(D70),D70,""),IF(B70="B",IF(ISNUMBER(E70),E70,""),"")))</f>
        <v/>
      </c>
      <c r="J70" s="25" t="str">
        <f aca="false">IF(G70&lt;&gt;"stranger","",IF(B70="A",IF(ISNUMBER(E70),E70,""),IF(B70="B",IF(ISNUMBER(D70),D70,""),"")))</f>
        <v/>
      </c>
      <c r="K70" s="25" t="str">
        <f aca="false">IF(OR(C70="",G70&lt;&gt;"friends &amp; family"),"",IF(C70=B70,1,0))</f>
        <v/>
      </c>
    </row>
    <row r="71" customFormat="false" ht="15" hidden="false" customHeight="true" outlineLevel="0" collapsed="false">
      <c r="A71" s="9"/>
      <c r="B71" s="9"/>
      <c r="C71" s="9"/>
      <c r="D71" s="9"/>
      <c r="E71" s="9"/>
      <c r="F71" s="9"/>
      <c r="G71" s="25" t="str">
        <f aca="false">IFERROR(INDEX(Participants!$T$6:$T$205,MATCH(A71,Participants!$A$6:$A$205,0)),"")</f>
        <v/>
      </c>
      <c r="H71" s="25" t="str">
        <f aca="false">IF(OR(C71="",G71&lt;&gt;"stranger"),"",IF(C71=B71,1,0))</f>
        <v/>
      </c>
      <c r="I71" s="25" t="str">
        <f aca="false">IF(G71&lt;&gt;"stranger","",IF(B71="A",IF(ISNUMBER(D71),D71,""),IF(B71="B",IF(ISNUMBER(E71),E71,""),"")))</f>
        <v/>
      </c>
      <c r="J71" s="25" t="str">
        <f aca="false">IF(G71&lt;&gt;"stranger","",IF(B71="A",IF(ISNUMBER(E71),E71,""),IF(B71="B",IF(ISNUMBER(D71),D71,""),"")))</f>
        <v/>
      </c>
      <c r="K71" s="25" t="str">
        <f aca="false">IF(OR(C71="",G71&lt;&gt;"friends &amp; family"),"",IF(C71=B71,1,0))</f>
        <v/>
      </c>
    </row>
    <row r="72" customFormat="false" ht="15" hidden="false" customHeight="true" outlineLevel="0" collapsed="false">
      <c r="A72" s="9"/>
      <c r="B72" s="9"/>
      <c r="C72" s="9"/>
      <c r="D72" s="9"/>
      <c r="E72" s="9"/>
      <c r="F72" s="9"/>
      <c r="G72" s="25" t="str">
        <f aca="false">IFERROR(INDEX(Participants!$T$6:$T$205,MATCH(A72,Participants!$A$6:$A$205,0)),"")</f>
        <v/>
      </c>
      <c r="H72" s="25" t="str">
        <f aca="false">IF(OR(C72="",G72&lt;&gt;"stranger"),"",IF(C72=B72,1,0))</f>
        <v/>
      </c>
      <c r="I72" s="25" t="str">
        <f aca="false">IF(G72&lt;&gt;"stranger","",IF(B72="A",IF(ISNUMBER(D72),D72,""),IF(B72="B",IF(ISNUMBER(E72),E72,""),"")))</f>
        <v/>
      </c>
      <c r="J72" s="25" t="str">
        <f aca="false">IF(G72&lt;&gt;"stranger","",IF(B72="A",IF(ISNUMBER(E72),E72,""),IF(B72="B",IF(ISNUMBER(D72),D72,""),"")))</f>
        <v/>
      </c>
      <c r="K72" s="25" t="str">
        <f aca="false">IF(OR(C72="",G72&lt;&gt;"friends &amp; family"),"",IF(C72=B72,1,0))</f>
        <v/>
      </c>
    </row>
    <row r="73" customFormat="false" ht="15" hidden="false" customHeight="true" outlineLevel="0" collapsed="false">
      <c r="A73" s="9"/>
      <c r="B73" s="9"/>
      <c r="C73" s="9"/>
      <c r="D73" s="9"/>
      <c r="E73" s="9"/>
      <c r="F73" s="9"/>
      <c r="G73" s="25" t="str">
        <f aca="false">IFERROR(INDEX(Participants!$T$6:$T$205,MATCH(A73,Participants!$A$6:$A$205,0)),"")</f>
        <v/>
      </c>
      <c r="H73" s="25" t="str">
        <f aca="false">IF(OR(C73="",G73&lt;&gt;"stranger"),"",IF(C73=B73,1,0))</f>
        <v/>
      </c>
      <c r="I73" s="25" t="str">
        <f aca="false">IF(G73&lt;&gt;"stranger","",IF(B73="A",IF(ISNUMBER(D73),D73,""),IF(B73="B",IF(ISNUMBER(E73),E73,""),"")))</f>
        <v/>
      </c>
      <c r="J73" s="25" t="str">
        <f aca="false">IF(G73&lt;&gt;"stranger","",IF(B73="A",IF(ISNUMBER(E73),E73,""),IF(B73="B",IF(ISNUMBER(D73),D73,""),"")))</f>
        <v/>
      </c>
      <c r="K73" s="25" t="str">
        <f aca="false">IF(OR(C73="",G73&lt;&gt;"friends &amp; family"),"",IF(C73=B73,1,0))</f>
        <v/>
      </c>
    </row>
    <row r="74" customFormat="false" ht="15" hidden="false" customHeight="true" outlineLevel="0" collapsed="false">
      <c r="A74" s="9"/>
      <c r="B74" s="9"/>
      <c r="C74" s="9"/>
      <c r="D74" s="9"/>
      <c r="E74" s="9"/>
      <c r="F74" s="9"/>
      <c r="G74" s="25" t="str">
        <f aca="false">IFERROR(INDEX(Participants!$T$6:$T$205,MATCH(A74,Participants!$A$6:$A$205,0)),"")</f>
        <v/>
      </c>
      <c r="H74" s="25" t="str">
        <f aca="false">IF(OR(C74="",G74&lt;&gt;"stranger"),"",IF(C74=B74,1,0))</f>
        <v/>
      </c>
      <c r="I74" s="25" t="str">
        <f aca="false">IF(G74&lt;&gt;"stranger","",IF(B74="A",IF(ISNUMBER(D74),D74,""),IF(B74="B",IF(ISNUMBER(E74),E74,""),"")))</f>
        <v/>
      </c>
      <c r="J74" s="25" t="str">
        <f aca="false">IF(G74&lt;&gt;"stranger","",IF(B74="A",IF(ISNUMBER(E74),E74,""),IF(B74="B",IF(ISNUMBER(D74),D74,""),"")))</f>
        <v/>
      </c>
      <c r="K74" s="25" t="str">
        <f aca="false">IF(OR(C74="",G74&lt;&gt;"friends &amp; family"),"",IF(C74=B74,1,0))</f>
        <v/>
      </c>
    </row>
    <row r="75" customFormat="false" ht="15" hidden="false" customHeight="true" outlineLevel="0" collapsed="false">
      <c r="A75" s="9"/>
      <c r="B75" s="9"/>
      <c r="C75" s="9"/>
      <c r="D75" s="9"/>
      <c r="E75" s="9"/>
      <c r="F75" s="9"/>
      <c r="G75" s="25" t="str">
        <f aca="false">IFERROR(INDEX(Participants!$T$6:$T$205,MATCH(A75,Participants!$A$6:$A$205,0)),"")</f>
        <v/>
      </c>
      <c r="H75" s="25" t="str">
        <f aca="false">IF(OR(C75="",G75&lt;&gt;"stranger"),"",IF(C75=B75,1,0))</f>
        <v/>
      </c>
      <c r="I75" s="25" t="str">
        <f aca="false">IF(G75&lt;&gt;"stranger","",IF(B75="A",IF(ISNUMBER(D75),D75,""),IF(B75="B",IF(ISNUMBER(E75),E75,""),"")))</f>
        <v/>
      </c>
      <c r="J75" s="25" t="str">
        <f aca="false">IF(G75&lt;&gt;"stranger","",IF(B75="A",IF(ISNUMBER(E75),E75,""),IF(B75="B",IF(ISNUMBER(D75),D75,""),"")))</f>
        <v/>
      </c>
      <c r="K75" s="25" t="str">
        <f aca="false">IF(OR(C75="",G75&lt;&gt;"friends &amp; family"),"",IF(C75=B75,1,0))</f>
        <v/>
      </c>
    </row>
    <row r="76" customFormat="false" ht="15" hidden="false" customHeight="true" outlineLevel="0" collapsed="false">
      <c r="A76" s="9"/>
      <c r="B76" s="9"/>
      <c r="C76" s="9"/>
      <c r="D76" s="9"/>
      <c r="E76" s="9"/>
      <c r="F76" s="9"/>
      <c r="G76" s="25" t="str">
        <f aca="false">IFERROR(INDEX(Participants!$T$6:$T$205,MATCH(A76,Participants!$A$6:$A$205,0)),"")</f>
        <v/>
      </c>
      <c r="H76" s="25" t="str">
        <f aca="false">IF(OR(C76="",G76&lt;&gt;"stranger"),"",IF(C76=B76,1,0))</f>
        <v/>
      </c>
      <c r="I76" s="25" t="str">
        <f aca="false">IF(G76&lt;&gt;"stranger","",IF(B76="A",IF(ISNUMBER(D76),D76,""),IF(B76="B",IF(ISNUMBER(E76),E76,""),"")))</f>
        <v/>
      </c>
      <c r="J76" s="25" t="str">
        <f aca="false">IF(G76&lt;&gt;"stranger","",IF(B76="A",IF(ISNUMBER(E76),E76,""),IF(B76="B",IF(ISNUMBER(D76),D76,""),"")))</f>
        <v/>
      </c>
      <c r="K76" s="25" t="str">
        <f aca="false">IF(OR(C76="",G76&lt;&gt;"friends &amp; family"),"",IF(C76=B76,1,0))</f>
        <v/>
      </c>
    </row>
    <row r="77" customFormat="false" ht="15" hidden="false" customHeight="true" outlineLevel="0" collapsed="false">
      <c r="A77" s="9"/>
      <c r="B77" s="9"/>
      <c r="C77" s="9"/>
      <c r="D77" s="9"/>
      <c r="E77" s="9"/>
      <c r="F77" s="9"/>
      <c r="G77" s="25" t="str">
        <f aca="false">IFERROR(INDEX(Participants!$T$6:$T$205,MATCH(A77,Participants!$A$6:$A$205,0)),"")</f>
        <v/>
      </c>
      <c r="H77" s="25" t="str">
        <f aca="false">IF(OR(C77="",G77&lt;&gt;"stranger"),"",IF(C77=B77,1,0))</f>
        <v/>
      </c>
      <c r="I77" s="25" t="str">
        <f aca="false">IF(G77&lt;&gt;"stranger","",IF(B77="A",IF(ISNUMBER(D77),D77,""),IF(B77="B",IF(ISNUMBER(E77),E77,""),"")))</f>
        <v/>
      </c>
      <c r="J77" s="25" t="str">
        <f aca="false">IF(G77&lt;&gt;"stranger","",IF(B77="A",IF(ISNUMBER(E77),E77,""),IF(B77="B",IF(ISNUMBER(D77),D77,""),"")))</f>
        <v/>
      </c>
      <c r="K77" s="25" t="str">
        <f aca="false">IF(OR(C77="",G77&lt;&gt;"friends &amp; family"),"",IF(C77=B77,1,0))</f>
        <v/>
      </c>
    </row>
    <row r="78" customFormat="false" ht="15" hidden="false" customHeight="true" outlineLevel="0" collapsed="false">
      <c r="A78" s="9"/>
      <c r="B78" s="9"/>
      <c r="C78" s="9"/>
      <c r="D78" s="9"/>
      <c r="E78" s="9"/>
      <c r="F78" s="9"/>
      <c r="G78" s="25" t="str">
        <f aca="false">IFERROR(INDEX(Participants!$T$6:$T$205,MATCH(A78,Participants!$A$6:$A$205,0)),"")</f>
        <v/>
      </c>
      <c r="H78" s="25" t="str">
        <f aca="false">IF(OR(C78="",G78&lt;&gt;"stranger"),"",IF(C78=B78,1,0))</f>
        <v/>
      </c>
      <c r="I78" s="25" t="str">
        <f aca="false">IF(G78&lt;&gt;"stranger","",IF(B78="A",IF(ISNUMBER(D78),D78,""),IF(B78="B",IF(ISNUMBER(E78),E78,""),"")))</f>
        <v/>
      </c>
      <c r="J78" s="25" t="str">
        <f aca="false">IF(G78&lt;&gt;"stranger","",IF(B78="A",IF(ISNUMBER(E78),E78,""),IF(B78="B",IF(ISNUMBER(D78),D78,""),"")))</f>
        <v/>
      </c>
      <c r="K78" s="25" t="str">
        <f aca="false">IF(OR(C78="",G78&lt;&gt;"friends &amp; family"),"",IF(C78=B78,1,0))</f>
        <v/>
      </c>
    </row>
    <row r="79" customFormat="false" ht="15" hidden="false" customHeight="true" outlineLevel="0" collapsed="false">
      <c r="A79" s="9"/>
      <c r="B79" s="9"/>
      <c r="C79" s="9"/>
      <c r="D79" s="9"/>
      <c r="E79" s="9"/>
      <c r="F79" s="9"/>
      <c r="G79" s="25" t="str">
        <f aca="false">IFERROR(INDEX(Participants!$T$6:$T$205,MATCH(A79,Participants!$A$6:$A$205,0)),"")</f>
        <v/>
      </c>
      <c r="H79" s="25" t="str">
        <f aca="false">IF(OR(C79="",G79&lt;&gt;"stranger"),"",IF(C79=B79,1,0))</f>
        <v/>
      </c>
      <c r="I79" s="25" t="str">
        <f aca="false">IF(G79&lt;&gt;"stranger","",IF(B79="A",IF(ISNUMBER(D79),D79,""),IF(B79="B",IF(ISNUMBER(E79),E79,""),"")))</f>
        <v/>
      </c>
      <c r="J79" s="25" t="str">
        <f aca="false">IF(G79&lt;&gt;"stranger","",IF(B79="A",IF(ISNUMBER(E79),E79,""),IF(B79="B",IF(ISNUMBER(D79),D79,""),"")))</f>
        <v/>
      </c>
      <c r="K79" s="25" t="str">
        <f aca="false">IF(OR(C79="",G79&lt;&gt;"friends &amp; family"),"",IF(C79=B79,1,0))</f>
        <v/>
      </c>
    </row>
    <row r="80" customFormat="false" ht="15" hidden="false" customHeight="true" outlineLevel="0" collapsed="false">
      <c r="A80" s="9"/>
      <c r="B80" s="9"/>
      <c r="C80" s="9"/>
      <c r="D80" s="9"/>
      <c r="E80" s="9"/>
      <c r="F80" s="9"/>
      <c r="G80" s="25" t="str">
        <f aca="false">IFERROR(INDEX(Participants!$T$6:$T$205,MATCH(A80,Participants!$A$6:$A$205,0)),"")</f>
        <v/>
      </c>
      <c r="H80" s="25" t="str">
        <f aca="false">IF(OR(C80="",G80&lt;&gt;"stranger"),"",IF(C80=B80,1,0))</f>
        <v/>
      </c>
      <c r="I80" s="25" t="str">
        <f aca="false">IF(G80&lt;&gt;"stranger","",IF(B80="A",IF(ISNUMBER(D80),D80,""),IF(B80="B",IF(ISNUMBER(E80),E80,""),"")))</f>
        <v/>
      </c>
      <c r="J80" s="25" t="str">
        <f aca="false">IF(G80&lt;&gt;"stranger","",IF(B80="A",IF(ISNUMBER(E80),E80,""),IF(B80="B",IF(ISNUMBER(D80),D80,""),"")))</f>
        <v/>
      </c>
      <c r="K80" s="25" t="str">
        <f aca="false">IF(OR(C80="",G80&lt;&gt;"friends &amp; family"),"",IF(C80=B80,1,0))</f>
        <v/>
      </c>
    </row>
    <row r="81" customFormat="false" ht="15" hidden="false" customHeight="true" outlineLevel="0" collapsed="false">
      <c r="A81" s="9"/>
      <c r="B81" s="9"/>
      <c r="C81" s="9"/>
      <c r="D81" s="9"/>
      <c r="E81" s="9"/>
      <c r="F81" s="9"/>
      <c r="G81" s="25" t="str">
        <f aca="false">IFERROR(INDEX(Participants!$T$6:$T$205,MATCH(A81,Participants!$A$6:$A$205,0)),"")</f>
        <v/>
      </c>
      <c r="H81" s="25" t="str">
        <f aca="false">IF(OR(C81="",G81&lt;&gt;"stranger"),"",IF(C81=B81,1,0))</f>
        <v/>
      </c>
      <c r="I81" s="25" t="str">
        <f aca="false">IF(G81&lt;&gt;"stranger","",IF(B81="A",IF(ISNUMBER(D81),D81,""),IF(B81="B",IF(ISNUMBER(E81),E81,""),"")))</f>
        <v/>
      </c>
      <c r="J81" s="25" t="str">
        <f aca="false">IF(G81&lt;&gt;"stranger","",IF(B81="A",IF(ISNUMBER(E81),E81,""),IF(B81="B",IF(ISNUMBER(D81),D81,""),"")))</f>
        <v/>
      </c>
      <c r="K81" s="25" t="str">
        <f aca="false">IF(OR(C81="",G81&lt;&gt;"friends &amp; family"),"",IF(C81=B81,1,0))</f>
        <v/>
      </c>
    </row>
    <row r="82" customFormat="false" ht="15" hidden="false" customHeight="true" outlineLevel="0" collapsed="false">
      <c r="A82" s="9"/>
      <c r="B82" s="9"/>
      <c r="C82" s="9"/>
      <c r="D82" s="9"/>
      <c r="E82" s="9"/>
      <c r="F82" s="9"/>
      <c r="G82" s="25" t="str">
        <f aca="false">IFERROR(INDEX(Participants!$T$6:$T$205,MATCH(A82,Participants!$A$6:$A$205,0)),"")</f>
        <v/>
      </c>
      <c r="H82" s="25" t="str">
        <f aca="false">IF(OR(C82="",G82&lt;&gt;"stranger"),"",IF(C82=B82,1,0))</f>
        <v/>
      </c>
      <c r="I82" s="25" t="str">
        <f aca="false">IF(G82&lt;&gt;"stranger","",IF(B82="A",IF(ISNUMBER(D82),D82,""),IF(B82="B",IF(ISNUMBER(E82),E82,""),"")))</f>
        <v/>
      </c>
      <c r="J82" s="25" t="str">
        <f aca="false">IF(G82&lt;&gt;"stranger","",IF(B82="A",IF(ISNUMBER(E82),E82,""),IF(B82="B",IF(ISNUMBER(D82),D82,""),"")))</f>
        <v/>
      </c>
      <c r="K82" s="25" t="str">
        <f aca="false">IF(OR(C82="",G82&lt;&gt;"friends &amp; family"),"",IF(C82=B82,1,0))</f>
        <v/>
      </c>
    </row>
    <row r="83" customFormat="false" ht="15" hidden="false" customHeight="true" outlineLevel="0" collapsed="false">
      <c r="A83" s="9"/>
      <c r="B83" s="9"/>
      <c r="C83" s="9"/>
      <c r="D83" s="9"/>
      <c r="E83" s="9"/>
      <c r="F83" s="9"/>
      <c r="G83" s="25" t="str">
        <f aca="false">IFERROR(INDEX(Participants!$T$6:$T$205,MATCH(A83,Participants!$A$6:$A$205,0)),"")</f>
        <v/>
      </c>
      <c r="H83" s="25" t="str">
        <f aca="false">IF(OR(C83="",G83&lt;&gt;"stranger"),"",IF(C83=B83,1,0))</f>
        <v/>
      </c>
      <c r="I83" s="25" t="str">
        <f aca="false">IF(G83&lt;&gt;"stranger","",IF(B83="A",IF(ISNUMBER(D83),D83,""),IF(B83="B",IF(ISNUMBER(E83),E83,""),"")))</f>
        <v/>
      </c>
      <c r="J83" s="25" t="str">
        <f aca="false">IF(G83&lt;&gt;"stranger","",IF(B83="A",IF(ISNUMBER(E83),E83,""),IF(B83="B",IF(ISNUMBER(D83),D83,""),"")))</f>
        <v/>
      </c>
      <c r="K83" s="25" t="str">
        <f aca="false">IF(OR(C83="",G83&lt;&gt;"friends &amp; family"),"",IF(C83=B83,1,0))</f>
        <v/>
      </c>
    </row>
    <row r="84" customFormat="false" ht="15" hidden="false" customHeight="true" outlineLevel="0" collapsed="false">
      <c r="A84" s="9"/>
      <c r="B84" s="9"/>
      <c r="C84" s="9"/>
      <c r="D84" s="9"/>
      <c r="E84" s="9"/>
      <c r="F84" s="9"/>
      <c r="G84" s="25" t="str">
        <f aca="false">IFERROR(INDEX(Participants!$T$6:$T$205,MATCH(A84,Participants!$A$6:$A$205,0)),"")</f>
        <v/>
      </c>
      <c r="H84" s="25" t="str">
        <f aca="false">IF(OR(C84="",G84&lt;&gt;"stranger"),"",IF(C84=B84,1,0))</f>
        <v/>
      </c>
      <c r="I84" s="25" t="str">
        <f aca="false">IF(G84&lt;&gt;"stranger","",IF(B84="A",IF(ISNUMBER(D84),D84,""),IF(B84="B",IF(ISNUMBER(E84),E84,""),"")))</f>
        <v/>
      </c>
      <c r="J84" s="25" t="str">
        <f aca="false">IF(G84&lt;&gt;"stranger","",IF(B84="A",IF(ISNUMBER(E84),E84,""),IF(B84="B",IF(ISNUMBER(D84),D84,""),"")))</f>
        <v/>
      </c>
      <c r="K84" s="25" t="str">
        <f aca="false">IF(OR(C84="",G84&lt;&gt;"friends &amp; family"),"",IF(C84=B84,1,0))</f>
        <v/>
      </c>
    </row>
    <row r="85" customFormat="false" ht="15" hidden="false" customHeight="true" outlineLevel="0" collapsed="false">
      <c r="A85" s="9"/>
      <c r="B85" s="9"/>
      <c r="C85" s="9"/>
      <c r="D85" s="9"/>
      <c r="E85" s="9"/>
      <c r="F85" s="9"/>
      <c r="G85" s="25" t="str">
        <f aca="false">IFERROR(INDEX(Participants!$T$6:$T$205,MATCH(A85,Participants!$A$6:$A$205,0)),"")</f>
        <v/>
      </c>
      <c r="H85" s="25" t="str">
        <f aca="false">IF(OR(C85="",G85&lt;&gt;"stranger"),"",IF(C85=B85,1,0))</f>
        <v/>
      </c>
      <c r="I85" s="25" t="str">
        <f aca="false">IF(G85&lt;&gt;"stranger","",IF(B85="A",IF(ISNUMBER(D85),D85,""),IF(B85="B",IF(ISNUMBER(E85),E85,""),"")))</f>
        <v/>
      </c>
      <c r="J85" s="25" t="str">
        <f aca="false">IF(G85&lt;&gt;"stranger","",IF(B85="A",IF(ISNUMBER(E85),E85,""),IF(B85="B",IF(ISNUMBER(D85),D85,""),"")))</f>
        <v/>
      </c>
      <c r="K85" s="25" t="str">
        <f aca="false">IF(OR(C85="",G85&lt;&gt;"friends &amp; family"),"",IF(C85=B85,1,0))</f>
        <v/>
      </c>
    </row>
    <row r="86" customFormat="false" ht="15" hidden="false" customHeight="true" outlineLevel="0" collapsed="false">
      <c r="A86" s="9"/>
      <c r="B86" s="9"/>
      <c r="C86" s="9"/>
      <c r="D86" s="9"/>
      <c r="E86" s="9"/>
      <c r="F86" s="9"/>
      <c r="G86" s="25" t="str">
        <f aca="false">IFERROR(INDEX(Participants!$T$6:$T$205,MATCH(A86,Participants!$A$6:$A$205,0)),"")</f>
        <v/>
      </c>
      <c r="H86" s="25" t="str">
        <f aca="false">IF(OR(C86="",G86&lt;&gt;"stranger"),"",IF(C86=B86,1,0))</f>
        <v/>
      </c>
      <c r="I86" s="25" t="str">
        <f aca="false">IF(G86&lt;&gt;"stranger","",IF(B86="A",IF(ISNUMBER(D86),D86,""),IF(B86="B",IF(ISNUMBER(E86),E86,""),"")))</f>
        <v/>
      </c>
      <c r="J86" s="25" t="str">
        <f aca="false">IF(G86&lt;&gt;"stranger","",IF(B86="A",IF(ISNUMBER(E86),E86,""),IF(B86="B",IF(ISNUMBER(D86),D86,""),"")))</f>
        <v/>
      </c>
      <c r="K86" s="25" t="str">
        <f aca="false">IF(OR(C86="",G86&lt;&gt;"friends &amp; family"),"",IF(C86=B86,1,0))</f>
        <v/>
      </c>
    </row>
    <row r="87" customFormat="false" ht="15" hidden="false" customHeight="true" outlineLevel="0" collapsed="false">
      <c r="A87" s="9"/>
      <c r="B87" s="9"/>
      <c r="C87" s="9"/>
      <c r="D87" s="9"/>
      <c r="E87" s="9"/>
      <c r="F87" s="9"/>
      <c r="G87" s="25" t="str">
        <f aca="false">IFERROR(INDEX(Participants!$T$6:$T$205,MATCH(A87,Participants!$A$6:$A$205,0)),"")</f>
        <v/>
      </c>
      <c r="H87" s="25" t="str">
        <f aca="false">IF(OR(C87="",G87&lt;&gt;"stranger"),"",IF(C87=B87,1,0))</f>
        <v/>
      </c>
      <c r="I87" s="25" t="str">
        <f aca="false">IF(G87&lt;&gt;"stranger","",IF(B87="A",IF(ISNUMBER(D87),D87,""),IF(B87="B",IF(ISNUMBER(E87),E87,""),"")))</f>
        <v/>
      </c>
      <c r="J87" s="25" t="str">
        <f aca="false">IF(G87&lt;&gt;"stranger","",IF(B87="A",IF(ISNUMBER(E87),E87,""),IF(B87="B",IF(ISNUMBER(D87),D87,""),"")))</f>
        <v/>
      </c>
      <c r="K87" s="25" t="str">
        <f aca="false">IF(OR(C87="",G87&lt;&gt;"friends &amp; family"),"",IF(C87=B87,1,0))</f>
        <v/>
      </c>
    </row>
    <row r="88" customFormat="false" ht="15" hidden="false" customHeight="true" outlineLevel="0" collapsed="false">
      <c r="A88" s="9"/>
      <c r="B88" s="9"/>
      <c r="C88" s="9"/>
      <c r="D88" s="9"/>
      <c r="E88" s="9"/>
      <c r="F88" s="9"/>
      <c r="G88" s="25" t="str">
        <f aca="false">IFERROR(INDEX(Participants!$T$6:$T$205,MATCH(A88,Participants!$A$6:$A$205,0)),"")</f>
        <v/>
      </c>
      <c r="H88" s="25" t="str">
        <f aca="false">IF(OR(C88="",G88&lt;&gt;"stranger"),"",IF(C88=B88,1,0))</f>
        <v/>
      </c>
      <c r="I88" s="25" t="str">
        <f aca="false">IF(G88&lt;&gt;"stranger","",IF(B88="A",IF(ISNUMBER(D88),D88,""),IF(B88="B",IF(ISNUMBER(E88),E88,""),"")))</f>
        <v/>
      </c>
      <c r="J88" s="25" t="str">
        <f aca="false">IF(G88&lt;&gt;"stranger","",IF(B88="A",IF(ISNUMBER(E88),E88,""),IF(B88="B",IF(ISNUMBER(D88),D88,""),"")))</f>
        <v/>
      </c>
      <c r="K88" s="25" t="str">
        <f aca="false">IF(OR(C88="",G88&lt;&gt;"friends &amp; family"),"",IF(C88=B88,1,0))</f>
        <v/>
      </c>
    </row>
    <row r="89" customFormat="false" ht="15" hidden="false" customHeight="true" outlineLevel="0" collapsed="false">
      <c r="A89" s="9"/>
      <c r="B89" s="9"/>
      <c r="C89" s="9"/>
      <c r="D89" s="9"/>
      <c r="E89" s="9"/>
      <c r="F89" s="9"/>
      <c r="G89" s="25" t="str">
        <f aca="false">IFERROR(INDEX(Participants!$T$6:$T$205,MATCH(A89,Participants!$A$6:$A$205,0)),"")</f>
        <v/>
      </c>
      <c r="H89" s="25" t="str">
        <f aca="false">IF(OR(C89="",G89&lt;&gt;"stranger"),"",IF(C89=B89,1,0))</f>
        <v/>
      </c>
      <c r="I89" s="25" t="str">
        <f aca="false">IF(G89&lt;&gt;"stranger","",IF(B89="A",IF(ISNUMBER(D89),D89,""),IF(B89="B",IF(ISNUMBER(E89),E89,""),"")))</f>
        <v/>
      </c>
      <c r="J89" s="25" t="str">
        <f aca="false">IF(G89&lt;&gt;"stranger","",IF(B89="A",IF(ISNUMBER(E89),E89,""),IF(B89="B",IF(ISNUMBER(D89),D89,""),"")))</f>
        <v/>
      </c>
      <c r="K89" s="25" t="str">
        <f aca="false">IF(OR(C89="",G89&lt;&gt;"friends &amp; family"),"",IF(C89=B89,1,0))</f>
        <v/>
      </c>
    </row>
    <row r="90" customFormat="false" ht="15" hidden="false" customHeight="true" outlineLevel="0" collapsed="false">
      <c r="A90" s="9"/>
      <c r="B90" s="9"/>
      <c r="C90" s="9"/>
      <c r="D90" s="9"/>
      <c r="E90" s="9"/>
      <c r="F90" s="9"/>
      <c r="G90" s="25" t="str">
        <f aca="false">IFERROR(INDEX(Participants!$T$6:$T$205,MATCH(A90,Participants!$A$6:$A$205,0)),"")</f>
        <v/>
      </c>
      <c r="H90" s="25" t="str">
        <f aca="false">IF(OR(C90="",G90&lt;&gt;"stranger"),"",IF(C90=B90,1,0))</f>
        <v/>
      </c>
      <c r="I90" s="25" t="str">
        <f aca="false">IF(G90&lt;&gt;"stranger","",IF(B90="A",IF(ISNUMBER(D90),D90,""),IF(B90="B",IF(ISNUMBER(E90),E90,""),"")))</f>
        <v/>
      </c>
      <c r="J90" s="25" t="str">
        <f aca="false">IF(G90&lt;&gt;"stranger","",IF(B90="A",IF(ISNUMBER(E90),E90,""),IF(B90="B",IF(ISNUMBER(D90),D90,""),"")))</f>
        <v/>
      </c>
      <c r="K90" s="25" t="str">
        <f aca="false">IF(OR(C90="",G90&lt;&gt;"friends &amp; family"),"",IF(C90=B90,1,0))</f>
        <v/>
      </c>
    </row>
    <row r="91" customFormat="false" ht="15" hidden="false" customHeight="true" outlineLevel="0" collapsed="false">
      <c r="A91" s="9"/>
      <c r="B91" s="9"/>
      <c r="C91" s="9"/>
      <c r="D91" s="9"/>
      <c r="E91" s="9"/>
      <c r="F91" s="9"/>
      <c r="G91" s="25" t="str">
        <f aca="false">IFERROR(INDEX(Participants!$T$6:$T$205,MATCH(A91,Participants!$A$6:$A$205,0)),"")</f>
        <v/>
      </c>
      <c r="H91" s="25" t="str">
        <f aca="false">IF(OR(C91="",G91&lt;&gt;"stranger"),"",IF(C91=B91,1,0))</f>
        <v/>
      </c>
      <c r="I91" s="25" t="str">
        <f aca="false">IF(G91&lt;&gt;"stranger","",IF(B91="A",IF(ISNUMBER(D91),D91,""),IF(B91="B",IF(ISNUMBER(E91),E91,""),"")))</f>
        <v/>
      </c>
      <c r="J91" s="25" t="str">
        <f aca="false">IF(G91&lt;&gt;"stranger","",IF(B91="A",IF(ISNUMBER(E91),E91,""),IF(B91="B",IF(ISNUMBER(D91),D91,""),"")))</f>
        <v/>
      </c>
      <c r="K91" s="25" t="str">
        <f aca="false">IF(OR(C91="",G91&lt;&gt;"friends &amp; family"),"",IF(C91=B91,1,0))</f>
        <v/>
      </c>
    </row>
    <row r="92" customFormat="false" ht="15" hidden="false" customHeight="true" outlineLevel="0" collapsed="false">
      <c r="A92" s="9"/>
      <c r="B92" s="9"/>
      <c r="C92" s="9"/>
      <c r="D92" s="9"/>
      <c r="E92" s="9"/>
      <c r="F92" s="9"/>
      <c r="G92" s="25" t="str">
        <f aca="false">IFERROR(INDEX(Participants!$T$6:$T$205,MATCH(A92,Participants!$A$6:$A$205,0)),"")</f>
        <v/>
      </c>
      <c r="H92" s="25" t="str">
        <f aca="false">IF(OR(C92="",G92&lt;&gt;"stranger"),"",IF(C92=B92,1,0))</f>
        <v/>
      </c>
      <c r="I92" s="25" t="str">
        <f aca="false">IF(G92&lt;&gt;"stranger","",IF(B92="A",IF(ISNUMBER(D92),D92,""),IF(B92="B",IF(ISNUMBER(E92),E92,""),"")))</f>
        <v/>
      </c>
      <c r="J92" s="25" t="str">
        <f aca="false">IF(G92&lt;&gt;"stranger","",IF(B92="A",IF(ISNUMBER(E92),E92,""),IF(B92="B",IF(ISNUMBER(D92),D92,""),"")))</f>
        <v/>
      </c>
      <c r="K92" s="25" t="str">
        <f aca="false">IF(OR(C92="",G92&lt;&gt;"friends &amp; family"),"",IF(C92=B92,1,0))</f>
        <v/>
      </c>
    </row>
    <row r="93" customFormat="false" ht="15" hidden="false" customHeight="true" outlineLevel="0" collapsed="false">
      <c r="A93" s="9"/>
      <c r="B93" s="9"/>
      <c r="C93" s="9"/>
      <c r="D93" s="9"/>
      <c r="E93" s="9"/>
      <c r="F93" s="9"/>
      <c r="G93" s="25" t="str">
        <f aca="false">IFERROR(INDEX(Participants!$T$6:$T$205,MATCH(A93,Participants!$A$6:$A$205,0)),"")</f>
        <v/>
      </c>
      <c r="H93" s="25" t="str">
        <f aca="false">IF(OR(C93="",G93&lt;&gt;"stranger"),"",IF(C93=B93,1,0))</f>
        <v/>
      </c>
      <c r="I93" s="25" t="str">
        <f aca="false">IF(G93&lt;&gt;"stranger","",IF(B93="A",IF(ISNUMBER(D93),D93,""),IF(B93="B",IF(ISNUMBER(E93),E93,""),"")))</f>
        <v/>
      </c>
      <c r="J93" s="25" t="str">
        <f aca="false">IF(G93&lt;&gt;"stranger","",IF(B93="A",IF(ISNUMBER(E93),E93,""),IF(B93="B",IF(ISNUMBER(D93),D93,""),"")))</f>
        <v/>
      </c>
      <c r="K93" s="25" t="str">
        <f aca="false">IF(OR(C93="",G93&lt;&gt;"friends &amp; family"),"",IF(C93=B93,1,0))</f>
        <v/>
      </c>
    </row>
    <row r="94" customFormat="false" ht="15" hidden="false" customHeight="true" outlineLevel="0" collapsed="false">
      <c r="A94" s="9"/>
      <c r="B94" s="9"/>
      <c r="C94" s="9"/>
      <c r="D94" s="9"/>
      <c r="E94" s="9"/>
      <c r="F94" s="9"/>
      <c r="G94" s="25" t="str">
        <f aca="false">IFERROR(INDEX(Participants!$T$6:$T$205,MATCH(A94,Participants!$A$6:$A$205,0)),"")</f>
        <v/>
      </c>
      <c r="H94" s="25" t="str">
        <f aca="false">IF(OR(C94="",G94&lt;&gt;"stranger"),"",IF(C94=B94,1,0))</f>
        <v/>
      </c>
      <c r="I94" s="25" t="str">
        <f aca="false">IF(G94&lt;&gt;"stranger","",IF(B94="A",IF(ISNUMBER(D94),D94,""),IF(B94="B",IF(ISNUMBER(E94),E94,""),"")))</f>
        <v/>
      </c>
      <c r="J94" s="25" t="str">
        <f aca="false">IF(G94&lt;&gt;"stranger","",IF(B94="A",IF(ISNUMBER(E94),E94,""),IF(B94="B",IF(ISNUMBER(D94),D94,""),"")))</f>
        <v/>
      </c>
      <c r="K94" s="25" t="str">
        <f aca="false">IF(OR(C94="",G94&lt;&gt;"friends &amp; family"),"",IF(C94=B94,1,0))</f>
        <v/>
      </c>
    </row>
    <row r="95" customFormat="false" ht="15" hidden="false" customHeight="true" outlineLevel="0" collapsed="false">
      <c r="A95" s="9"/>
      <c r="B95" s="9"/>
      <c r="C95" s="9"/>
      <c r="D95" s="9"/>
      <c r="E95" s="9"/>
      <c r="F95" s="9"/>
      <c r="G95" s="25" t="str">
        <f aca="false">IFERROR(INDEX(Participants!$T$6:$T$205,MATCH(A95,Participants!$A$6:$A$205,0)),"")</f>
        <v/>
      </c>
      <c r="H95" s="25" t="str">
        <f aca="false">IF(OR(C95="",G95&lt;&gt;"stranger"),"",IF(C95=B95,1,0))</f>
        <v/>
      </c>
      <c r="I95" s="25" t="str">
        <f aca="false">IF(G95&lt;&gt;"stranger","",IF(B95="A",IF(ISNUMBER(D95),D95,""),IF(B95="B",IF(ISNUMBER(E95),E95,""),"")))</f>
        <v/>
      </c>
      <c r="J95" s="25" t="str">
        <f aca="false">IF(G95&lt;&gt;"stranger","",IF(B95="A",IF(ISNUMBER(E95),E95,""),IF(B95="B",IF(ISNUMBER(D95),D95,""),"")))</f>
        <v/>
      </c>
      <c r="K95" s="25" t="str">
        <f aca="false">IF(OR(C95="",G95&lt;&gt;"friends &amp; family"),"",IF(C95=B95,1,0))</f>
        <v/>
      </c>
    </row>
    <row r="96" customFormat="false" ht="15" hidden="false" customHeight="true" outlineLevel="0" collapsed="false">
      <c r="A96" s="9"/>
      <c r="B96" s="9"/>
      <c r="C96" s="9"/>
      <c r="D96" s="9"/>
      <c r="E96" s="9"/>
      <c r="F96" s="9"/>
      <c r="G96" s="25" t="str">
        <f aca="false">IFERROR(INDEX(Participants!$T$6:$T$205,MATCH(A96,Participants!$A$6:$A$205,0)),"")</f>
        <v/>
      </c>
      <c r="H96" s="25" t="str">
        <f aca="false">IF(OR(C96="",G96&lt;&gt;"stranger"),"",IF(C96=B96,1,0))</f>
        <v/>
      </c>
      <c r="I96" s="25" t="str">
        <f aca="false">IF(G96&lt;&gt;"stranger","",IF(B96="A",IF(ISNUMBER(D96),D96,""),IF(B96="B",IF(ISNUMBER(E96),E96,""),"")))</f>
        <v/>
      </c>
      <c r="J96" s="25" t="str">
        <f aca="false">IF(G96&lt;&gt;"stranger","",IF(B96="A",IF(ISNUMBER(E96),E96,""),IF(B96="B",IF(ISNUMBER(D96),D96,""),"")))</f>
        <v/>
      </c>
      <c r="K96" s="25" t="str">
        <f aca="false">IF(OR(C96="",G96&lt;&gt;"friends &amp; family"),"",IF(C96=B96,1,0))</f>
        <v/>
      </c>
    </row>
    <row r="97" customFormat="false" ht="15" hidden="false" customHeight="true" outlineLevel="0" collapsed="false">
      <c r="A97" s="9"/>
      <c r="B97" s="9"/>
      <c r="C97" s="9"/>
      <c r="D97" s="9"/>
      <c r="E97" s="9"/>
      <c r="F97" s="9"/>
      <c r="G97" s="25" t="str">
        <f aca="false">IFERROR(INDEX(Participants!$T$6:$T$205,MATCH(A97,Participants!$A$6:$A$205,0)),"")</f>
        <v/>
      </c>
      <c r="H97" s="25" t="str">
        <f aca="false">IF(OR(C97="",G97&lt;&gt;"stranger"),"",IF(C97=B97,1,0))</f>
        <v/>
      </c>
      <c r="I97" s="25" t="str">
        <f aca="false">IF(G97&lt;&gt;"stranger","",IF(B97="A",IF(ISNUMBER(D97),D97,""),IF(B97="B",IF(ISNUMBER(E97),E97,""),"")))</f>
        <v/>
      </c>
      <c r="J97" s="25" t="str">
        <f aca="false">IF(G97&lt;&gt;"stranger","",IF(B97="A",IF(ISNUMBER(E97),E97,""),IF(B97="B",IF(ISNUMBER(D97),D97,""),"")))</f>
        <v/>
      </c>
      <c r="K97" s="25" t="str">
        <f aca="false">IF(OR(C97="",G97&lt;&gt;"friends &amp; family"),"",IF(C97=B97,1,0))</f>
        <v/>
      </c>
    </row>
    <row r="98" customFormat="false" ht="15" hidden="false" customHeight="true" outlineLevel="0" collapsed="false">
      <c r="A98" s="9"/>
      <c r="B98" s="9"/>
      <c r="C98" s="9"/>
      <c r="D98" s="9"/>
      <c r="E98" s="9"/>
      <c r="F98" s="9"/>
      <c r="G98" s="25" t="str">
        <f aca="false">IFERROR(INDEX(Participants!$T$6:$T$205,MATCH(A98,Participants!$A$6:$A$205,0)),"")</f>
        <v/>
      </c>
      <c r="H98" s="25" t="str">
        <f aca="false">IF(OR(C98="",G98&lt;&gt;"stranger"),"",IF(C98=B98,1,0))</f>
        <v/>
      </c>
      <c r="I98" s="25" t="str">
        <f aca="false">IF(G98&lt;&gt;"stranger","",IF(B98="A",IF(ISNUMBER(D98),D98,""),IF(B98="B",IF(ISNUMBER(E98),E98,""),"")))</f>
        <v/>
      </c>
      <c r="J98" s="25" t="str">
        <f aca="false">IF(G98&lt;&gt;"stranger","",IF(B98="A",IF(ISNUMBER(E98),E98,""),IF(B98="B",IF(ISNUMBER(D98),D98,""),"")))</f>
        <v/>
      </c>
      <c r="K98" s="25" t="str">
        <f aca="false">IF(OR(C98="",G98&lt;&gt;"friends &amp; family"),"",IF(C98=B98,1,0))</f>
        <v/>
      </c>
    </row>
    <row r="99" customFormat="false" ht="15" hidden="false" customHeight="true" outlineLevel="0" collapsed="false">
      <c r="A99" s="9"/>
      <c r="B99" s="9"/>
      <c r="C99" s="9"/>
      <c r="D99" s="9"/>
      <c r="E99" s="9"/>
      <c r="F99" s="9"/>
      <c r="G99" s="25" t="str">
        <f aca="false">IFERROR(INDEX(Participants!$T$6:$T$205,MATCH(A99,Participants!$A$6:$A$205,0)),"")</f>
        <v/>
      </c>
      <c r="H99" s="25" t="str">
        <f aca="false">IF(OR(C99="",G99&lt;&gt;"stranger"),"",IF(C99=B99,1,0))</f>
        <v/>
      </c>
      <c r="I99" s="25" t="str">
        <f aca="false">IF(G99&lt;&gt;"stranger","",IF(B99="A",IF(ISNUMBER(D99),D99,""),IF(B99="B",IF(ISNUMBER(E99),E99,""),"")))</f>
        <v/>
      </c>
      <c r="J99" s="25" t="str">
        <f aca="false">IF(G99&lt;&gt;"stranger","",IF(B99="A",IF(ISNUMBER(E99),E99,""),IF(B99="B",IF(ISNUMBER(D99),D99,""),"")))</f>
        <v/>
      </c>
      <c r="K99" s="25" t="str">
        <f aca="false">IF(OR(C99="",G99&lt;&gt;"friends &amp; family"),"",IF(C99=B99,1,0))</f>
        <v/>
      </c>
    </row>
    <row r="100" customFormat="false" ht="15" hidden="false" customHeight="true" outlineLevel="0" collapsed="false">
      <c r="A100" s="9"/>
      <c r="B100" s="9"/>
      <c r="C100" s="9"/>
      <c r="D100" s="9"/>
      <c r="E100" s="9"/>
      <c r="F100" s="9"/>
      <c r="G100" s="25" t="str">
        <f aca="false">IFERROR(INDEX(Participants!$T$6:$T$205,MATCH(A100,Participants!$A$6:$A$205,0)),"")</f>
        <v/>
      </c>
      <c r="H100" s="25" t="str">
        <f aca="false">IF(OR(C100="",G100&lt;&gt;"stranger"),"",IF(C100=B100,1,0))</f>
        <v/>
      </c>
      <c r="I100" s="25" t="str">
        <f aca="false">IF(G100&lt;&gt;"stranger","",IF(B100="A",IF(ISNUMBER(D100),D100,""),IF(B100="B",IF(ISNUMBER(E100),E100,""),"")))</f>
        <v/>
      </c>
      <c r="J100" s="25" t="str">
        <f aca="false">IF(G100&lt;&gt;"stranger","",IF(B100="A",IF(ISNUMBER(E100),E100,""),IF(B100="B",IF(ISNUMBER(D100),D100,""),"")))</f>
        <v/>
      </c>
      <c r="K100" s="25" t="str">
        <f aca="false">IF(OR(C100="",G100&lt;&gt;"friends &amp; family"),"",IF(C100=B100,1,0))</f>
        <v/>
      </c>
    </row>
    <row r="101" customFormat="false" ht="15" hidden="false" customHeight="true" outlineLevel="0" collapsed="false">
      <c r="A101" s="9"/>
      <c r="B101" s="9"/>
      <c r="C101" s="9"/>
      <c r="D101" s="9"/>
      <c r="E101" s="9"/>
      <c r="F101" s="9"/>
      <c r="G101" s="25" t="str">
        <f aca="false">IFERROR(INDEX(Participants!$T$6:$T$205,MATCH(A101,Participants!$A$6:$A$205,0)),"")</f>
        <v/>
      </c>
      <c r="H101" s="25" t="str">
        <f aca="false">IF(OR(C101="",G101&lt;&gt;"stranger"),"",IF(C101=B101,1,0))</f>
        <v/>
      </c>
      <c r="I101" s="25" t="str">
        <f aca="false">IF(G101&lt;&gt;"stranger","",IF(B101="A",IF(ISNUMBER(D101),D101,""),IF(B101="B",IF(ISNUMBER(E101),E101,""),"")))</f>
        <v/>
      </c>
      <c r="J101" s="25" t="str">
        <f aca="false">IF(G101&lt;&gt;"stranger","",IF(B101="A",IF(ISNUMBER(E101),E101,""),IF(B101="B",IF(ISNUMBER(D101),D101,""),"")))</f>
        <v/>
      </c>
      <c r="K101" s="25" t="str">
        <f aca="false">IF(OR(C101="",G101&lt;&gt;"friends &amp; family"),"",IF(C101=B101,1,0))</f>
        <v/>
      </c>
    </row>
    <row r="102" customFormat="false" ht="15" hidden="false" customHeight="true" outlineLevel="0" collapsed="false">
      <c r="A102" s="9"/>
      <c r="B102" s="9"/>
      <c r="C102" s="9"/>
      <c r="D102" s="9"/>
      <c r="E102" s="9"/>
      <c r="F102" s="9"/>
      <c r="G102" s="25" t="str">
        <f aca="false">IFERROR(INDEX(Participants!$T$6:$T$205,MATCH(A102,Participants!$A$6:$A$205,0)),"")</f>
        <v/>
      </c>
      <c r="H102" s="25" t="str">
        <f aca="false">IF(OR(C102="",G102&lt;&gt;"stranger"),"",IF(C102=B102,1,0))</f>
        <v/>
      </c>
      <c r="I102" s="25" t="str">
        <f aca="false">IF(G102&lt;&gt;"stranger","",IF(B102="A",IF(ISNUMBER(D102),D102,""),IF(B102="B",IF(ISNUMBER(E102),E102,""),"")))</f>
        <v/>
      </c>
      <c r="J102" s="25" t="str">
        <f aca="false">IF(G102&lt;&gt;"stranger","",IF(B102="A",IF(ISNUMBER(E102),E102,""),IF(B102="B",IF(ISNUMBER(D102),D102,""),"")))</f>
        <v/>
      </c>
      <c r="K102" s="25" t="str">
        <f aca="false">IF(OR(C102="",G102&lt;&gt;"friends &amp; family"),"",IF(C102=B102,1,0))</f>
        <v/>
      </c>
    </row>
    <row r="103" customFormat="false" ht="15" hidden="false" customHeight="true" outlineLevel="0" collapsed="false">
      <c r="A103" s="9"/>
      <c r="B103" s="9"/>
      <c r="C103" s="9"/>
      <c r="D103" s="9"/>
      <c r="E103" s="9"/>
      <c r="F103" s="9"/>
      <c r="G103" s="25" t="str">
        <f aca="false">IFERROR(INDEX(Participants!$T$6:$T$205,MATCH(A103,Participants!$A$6:$A$205,0)),"")</f>
        <v/>
      </c>
      <c r="H103" s="25" t="str">
        <f aca="false">IF(OR(C103="",G103&lt;&gt;"stranger"),"",IF(C103=B103,1,0))</f>
        <v/>
      </c>
      <c r="I103" s="25" t="str">
        <f aca="false">IF(G103&lt;&gt;"stranger","",IF(B103="A",IF(ISNUMBER(D103),D103,""),IF(B103="B",IF(ISNUMBER(E103),E103,""),"")))</f>
        <v/>
      </c>
      <c r="J103" s="25" t="str">
        <f aca="false">IF(G103&lt;&gt;"stranger","",IF(B103="A",IF(ISNUMBER(E103),E103,""),IF(B103="B",IF(ISNUMBER(D103),D103,""),"")))</f>
        <v/>
      </c>
      <c r="K103" s="25" t="str">
        <f aca="false">IF(OR(C103="",G103&lt;&gt;"friends &amp; family"),"",IF(C103=B103,1,0))</f>
        <v/>
      </c>
    </row>
    <row r="104" customFormat="false" ht="15" hidden="false" customHeight="true" outlineLevel="0" collapsed="false">
      <c r="A104" s="9"/>
      <c r="B104" s="9"/>
      <c r="C104" s="9"/>
      <c r="D104" s="9"/>
      <c r="E104" s="9"/>
      <c r="F104" s="9"/>
      <c r="G104" s="25" t="str">
        <f aca="false">IFERROR(INDEX(Participants!$T$6:$T$205,MATCH(A104,Participants!$A$6:$A$205,0)),"")</f>
        <v/>
      </c>
      <c r="H104" s="25" t="str">
        <f aca="false">IF(OR(C104="",G104&lt;&gt;"stranger"),"",IF(C104=B104,1,0))</f>
        <v/>
      </c>
      <c r="I104" s="25" t="str">
        <f aca="false">IF(G104&lt;&gt;"stranger","",IF(B104="A",IF(ISNUMBER(D104),D104,""),IF(B104="B",IF(ISNUMBER(E104),E104,""),"")))</f>
        <v/>
      </c>
      <c r="J104" s="25" t="str">
        <f aca="false">IF(G104&lt;&gt;"stranger","",IF(B104="A",IF(ISNUMBER(E104),E104,""),IF(B104="B",IF(ISNUMBER(D104),D104,""),"")))</f>
        <v/>
      </c>
      <c r="K104" s="25" t="str">
        <f aca="false">IF(OR(C104="",G104&lt;&gt;"friends &amp; family"),"",IF(C104=B104,1,0))</f>
        <v/>
      </c>
    </row>
    <row r="105" customFormat="false" ht="15" hidden="false" customHeight="true" outlineLevel="0" collapsed="false">
      <c r="A105" s="9"/>
      <c r="B105" s="9"/>
      <c r="C105" s="9"/>
      <c r="D105" s="9"/>
      <c r="E105" s="9"/>
      <c r="F105" s="9"/>
      <c r="G105" s="25" t="str">
        <f aca="false">IFERROR(INDEX(Participants!$T$6:$T$205,MATCH(A105,Participants!$A$6:$A$205,0)),"")</f>
        <v/>
      </c>
      <c r="H105" s="25" t="str">
        <f aca="false">IF(OR(C105="",G105&lt;&gt;"stranger"),"",IF(C105=B105,1,0))</f>
        <v/>
      </c>
      <c r="I105" s="25" t="str">
        <f aca="false">IF(G105&lt;&gt;"stranger","",IF(B105="A",IF(ISNUMBER(D105),D105,""),IF(B105="B",IF(ISNUMBER(E105),E105,""),"")))</f>
        <v/>
      </c>
      <c r="J105" s="25" t="str">
        <f aca="false">IF(G105&lt;&gt;"stranger","",IF(B105="A",IF(ISNUMBER(E105),E105,""),IF(B105="B",IF(ISNUMBER(D105),D105,""),"")))</f>
        <v/>
      </c>
      <c r="K105" s="25" t="str">
        <f aca="false">IF(OR(C105="",G105&lt;&gt;"friends &amp; family"),"",IF(C105=B105,1,0))</f>
        <v/>
      </c>
    </row>
    <row r="106" customFormat="false" ht="15" hidden="false" customHeight="true" outlineLevel="0" collapsed="false">
      <c r="A106" s="9"/>
      <c r="B106" s="9"/>
      <c r="C106" s="9"/>
      <c r="D106" s="9"/>
      <c r="E106" s="9"/>
      <c r="F106" s="9"/>
      <c r="G106" s="25" t="str">
        <f aca="false">IFERROR(INDEX(Participants!$T$6:$T$205,MATCH(A106,Participants!$A$6:$A$205,0)),"")</f>
        <v/>
      </c>
      <c r="H106" s="25" t="str">
        <f aca="false">IF(OR(C106="",G106&lt;&gt;"stranger"),"",IF(C106=B106,1,0))</f>
        <v/>
      </c>
      <c r="I106" s="25" t="str">
        <f aca="false">IF(G106&lt;&gt;"stranger","",IF(B106="A",IF(ISNUMBER(D106),D106,""),IF(B106="B",IF(ISNUMBER(E106),E106,""),"")))</f>
        <v/>
      </c>
      <c r="J106" s="25" t="str">
        <f aca="false">IF(G106&lt;&gt;"stranger","",IF(B106="A",IF(ISNUMBER(E106),E106,""),IF(B106="B",IF(ISNUMBER(D106),D106,""),"")))</f>
        <v/>
      </c>
      <c r="K106" s="25" t="str">
        <f aca="false">IF(OR(C106="",G106&lt;&gt;"friends &amp; family"),"",IF(C106=B106,1,0))</f>
        <v/>
      </c>
    </row>
    <row r="107" customFormat="false" ht="15" hidden="false" customHeight="true" outlineLevel="0" collapsed="false">
      <c r="A107" s="9"/>
      <c r="B107" s="9"/>
      <c r="C107" s="9"/>
      <c r="D107" s="9"/>
      <c r="E107" s="9"/>
      <c r="F107" s="9"/>
      <c r="G107" s="25" t="str">
        <f aca="false">IFERROR(INDEX(Participants!$T$6:$T$205,MATCH(A107,Participants!$A$6:$A$205,0)),"")</f>
        <v/>
      </c>
      <c r="H107" s="25" t="str">
        <f aca="false">IF(OR(C107="",G107&lt;&gt;"stranger"),"",IF(C107=B107,1,0))</f>
        <v/>
      </c>
      <c r="I107" s="25" t="str">
        <f aca="false">IF(G107&lt;&gt;"stranger","",IF(B107="A",IF(ISNUMBER(D107),D107,""),IF(B107="B",IF(ISNUMBER(E107),E107,""),"")))</f>
        <v/>
      </c>
      <c r="J107" s="25" t="str">
        <f aca="false">IF(G107&lt;&gt;"stranger","",IF(B107="A",IF(ISNUMBER(E107),E107,""),IF(B107="B",IF(ISNUMBER(D107),D107,""),"")))</f>
        <v/>
      </c>
      <c r="K107" s="25" t="str">
        <f aca="false">IF(OR(C107="",G107&lt;&gt;"friends &amp; family"),"",IF(C107=B107,1,0))</f>
        <v/>
      </c>
    </row>
    <row r="108" customFormat="false" ht="15" hidden="false" customHeight="true" outlineLevel="0" collapsed="false">
      <c r="A108" s="9"/>
      <c r="B108" s="9"/>
      <c r="C108" s="9"/>
      <c r="D108" s="9"/>
      <c r="E108" s="9"/>
      <c r="F108" s="9"/>
      <c r="G108" s="25" t="str">
        <f aca="false">IFERROR(INDEX(Participants!$T$6:$T$205,MATCH(A108,Participants!$A$6:$A$205,0)),"")</f>
        <v/>
      </c>
      <c r="H108" s="25" t="str">
        <f aca="false">IF(OR(C108="",G108&lt;&gt;"stranger"),"",IF(C108=B108,1,0))</f>
        <v/>
      </c>
      <c r="I108" s="25" t="str">
        <f aca="false">IF(G108&lt;&gt;"stranger","",IF(B108="A",IF(ISNUMBER(D108),D108,""),IF(B108="B",IF(ISNUMBER(E108),E108,""),"")))</f>
        <v/>
      </c>
      <c r="J108" s="25" t="str">
        <f aca="false">IF(G108&lt;&gt;"stranger","",IF(B108="A",IF(ISNUMBER(E108),E108,""),IF(B108="B",IF(ISNUMBER(D108),D108,""),"")))</f>
        <v/>
      </c>
      <c r="K108" s="25" t="str">
        <f aca="false">IF(OR(C108="",G108&lt;&gt;"friends &amp; family"),"",IF(C108=B108,1,0))</f>
        <v/>
      </c>
    </row>
    <row r="109" customFormat="false" ht="15" hidden="false" customHeight="true" outlineLevel="0" collapsed="false">
      <c r="A109" s="9"/>
      <c r="B109" s="9"/>
      <c r="C109" s="9"/>
      <c r="D109" s="9"/>
      <c r="E109" s="9"/>
      <c r="F109" s="9"/>
      <c r="G109" s="25" t="str">
        <f aca="false">IFERROR(INDEX(Participants!$T$6:$T$205,MATCH(A109,Participants!$A$6:$A$205,0)),"")</f>
        <v/>
      </c>
      <c r="H109" s="25" t="str">
        <f aca="false">IF(OR(C109="",G109&lt;&gt;"stranger"),"",IF(C109=B109,1,0))</f>
        <v/>
      </c>
      <c r="I109" s="25" t="str">
        <f aca="false">IF(G109&lt;&gt;"stranger","",IF(B109="A",IF(ISNUMBER(D109),D109,""),IF(B109="B",IF(ISNUMBER(E109),E109,""),"")))</f>
        <v/>
      </c>
      <c r="J109" s="25" t="str">
        <f aca="false">IF(G109&lt;&gt;"stranger","",IF(B109="A",IF(ISNUMBER(E109),E109,""),IF(B109="B",IF(ISNUMBER(D109),D109,""),"")))</f>
        <v/>
      </c>
      <c r="K109" s="25" t="str">
        <f aca="false">IF(OR(C109="",G109&lt;&gt;"friends &amp; family"),"",IF(C109=B109,1,0))</f>
        <v/>
      </c>
    </row>
    <row r="110" customFormat="false" ht="15" hidden="false" customHeight="true" outlineLevel="0" collapsed="false">
      <c r="A110" s="9"/>
      <c r="B110" s="9"/>
      <c r="C110" s="9"/>
      <c r="D110" s="9"/>
      <c r="E110" s="9"/>
      <c r="F110" s="9"/>
      <c r="G110" s="25" t="str">
        <f aca="false">IFERROR(INDEX(Participants!$T$6:$T$205,MATCH(A110,Participants!$A$6:$A$205,0)),"")</f>
        <v/>
      </c>
      <c r="H110" s="25" t="str">
        <f aca="false">IF(OR(C110="",G110&lt;&gt;"stranger"),"",IF(C110=B110,1,0))</f>
        <v/>
      </c>
      <c r="I110" s="25" t="str">
        <f aca="false">IF(G110&lt;&gt;"stranger","",IF(B110="A",IF(ISNUMBER(D110),D110,""),IF(B110="B",IF(ISNUMBER(E110),E110,""),"")))</f>
        <v/>
      </c>
      <c r="J110" s="25" t="str">
        <f aca="false">IF(G110&lt;&gt;"stranger","",IF(B110="A",IF(ISNUMBER(E110),E110,""),IF(B110="B",IF(ISNUMBER(D110),D110,""),"")))</f>
        <v/>
      </c>
      <c r="K110" s="25" t="str">
        <f aca="false">IF(OR(C110="",G110&lt;&gt;"friends &amp; family"),"",IF(C110=B110,1,0))</f>
        <v/>
      </c>
    </row>
    <row r="111" customFormat="false" ht="15" hidden="false" customHeight="true" outlineLevel="0" collapsed="false">
      <c r="A111" s="9"/>
      <c r="B111" s="9"/>
      <c r="C111" s="9"/>
      <c r="D111" s="9"/>
      <c r="E111" s="9"/>
      <c r="F111" s="9"/>
      <c r="G111" s="25" t="str">
        <f aca="false">IFERROR(INDEX(Participants!$T$6:$T$205,MATCH(A111,Participants!$A$6:$A$205,0)),"")</f>
        <v/>
      </c>
      <c r="H111" s="25" t="str">
        <f aca="false">IF(OR(C111="",G111&lt;&gt;"stranger"),"",IF(C111=B111,1,0))</f>
        <v/>
      </c>
      <c r="I111" s="25" t="str">
        <f aca="false">IF(G111&lt;&gt;"stranger","",IF(B111="A",IF(ISNUMBER(D111),D111,""),IF(B111="B",IF(ISNUMBER(E111),E111,""),"")))</f>
        <v/>
      </c>
      <c r="J111" s="25" t="str">
        <f aca="false">IF(G111&lt;&gt;"stranger","",IF(B111="A",IF(ISNUMBER(E111),E111,""),IF(B111="B",IF(ISNUMBER(D111),D111,""),"")))</f>
        <v/>
      </c>
      <c r="K111" s="25" t="str">
        <f aca="false">IF(OR(C111="",G111&lt;&gt;"friends &amp; family"),"",IF(C111=B111,1,0))</f>
        <v/>
      </c>
    </row>
    <row r="112" customFormat="false" ht="15" hidden="false" customHeight="true" outlineLevel="0" collapsed="false">
      <c r="A112" s="9"/>
      <c r="B112" s="9"/>
      <c r="C112" s="9"/>
      <c r="D112" s="9"/>
      <c r="E112" s="9"/>
      <c r="F112" s="9"/>
      <c r="G112" s="25" t="str">
        <f aca="false">IFERROR(INDEX(Participants!$T$6:$T$205,MATCH(A112,Participants!$A$6:$A$205,0)),"")</f>
        <v/>
      </c>
      <c r="H112" s="25" t="str">
        <f aca="false">IF(OR(C112="",G112&lt;&gt;"stranger"),"",IF(C112=B112,1,0))</f>
        <v/>
      </c>
      <c r="I112" s="25" t="str">
        <f aca="false">IF(G112&lt;&gt;"stranger","",IF(B112="A",IF(ISNUMBER(D112),D112,""),IF(B112="B",IF(ISNUMBER(E112),E112,""),"")))</f>
        <v/>
      </c>
      <c r="J112" s="25" t="str">
        <f aca="false">IF(G112&lt;&gt;"stranger","",IF(B112="A",IF(ISNUMBER(E112),E112,""),IF(B112="B",IF(ISNUMBER(D112),D112,""),"")))</f>
        <v/>
      </c>
      <c r="K112" s="25" t="str">
        <f aca="false">IF(OR(C112="",G112&lt;&gt;"friends &amp; family"),"",IF(C112=B112,1,0))</f>
        <v/>
      </c>
    </row>
    <row r="113" customFormat="false" ht="15" hidden="false" customHeight="true" outlineLevel="0" collapsed="false">
      <c r="A113" s="9"/>
      <c r="B113" s="9"/>
      <c r="C113" s="9"/>
      <c r="D113" s="9"/>
      <c r="E113" s="9"/>
      <c r="F113" s="9"/>
      <c r="G113" s="25" t="str">
        <f aca="false">IFERROR(INDEX(Participants!$T$6:$T$205,MATCH(A113,Participants!$A$6:$A$205,0)),"")</f>
        <v/>
      </c>
      <c r="H113" s="25" t="str">
        <f aca="false">IF(OR(C113="",G113&lt;&gt;"stranger"),"",IF(C113=B113,1,0))</f>
        <v/>
      </c>
      <c r="I113" s="25" t="str">
        <f aca="false">IF(G113&lt;&gt;"stranger","",IF(B113="A",IF(ISNUMBER(D113),D113,""),IF(B113="B",IF(ISNUMBER(E113),E113,""),"")))</f>
        <v/>
      </c>
      <c r="J113" s="25" t="str">
        <f aca="false">IF(G113&lt;&gt;"stranger","",IF(B113="A",IF(ISNUMBER(E113),E113,""),IF(B113="B",IF(ISNUMBER(D113),D113,""),"")))</f>
        <v/>
      </c>
      <c r="K113" s="25" t="str">
        <f aca="false">IF(OR(C113="",G113&lt;&gt;"friends &amp; family"),"",IF(C113=B113,1,0))</f>
        <v/>
      </c>
    </row>
    <row r="114" customFormat="false" ht="15" hidden="false" customHeight="true" outlineLevel="0" collapsed="false">
      <c r="A114" s="9"/>
      <c r="B114" s="9"/>
      <c r="C114" s="9"/>
      <c r="D114" s="9"/>
      <c r="E114" s="9"/>
      <c r="F114" s="9"/>
      <c r="G114" s="25" t="str">
        <f aca="false">IFERROR(INDEX(Participants!$T$6:$T$205,MATCH(A114,Participants!$A$6:$A$205,0)),"")</f>
        <v/>
      </c>
      <c r="H114" s="25" t="str">
        <f aca="false">IF(OR(C114="",G114&lt;&gt;"stranger"),"",IF(C114=B114,1,0))</f>
        <v/>
      </c>
      <c r="I114" s="25" t="str">
        <f aca="false">IF(G114&lt;&gt;"stranger","",IF(B114="A",IF(ISNUMBER(D114),D114,""),IF(B114="B",IF(ISNUMBER(E114),E114,""),"")))</f>
        <v/>
      </c>
      <c r="J114" s="25" t="str">
        <f aca="false">IF(G114&lt;&gt;"stranger","",IF(B114="A",IF(ISNUMBER(E114),E114,""),IF(B114="B",IF(ISNUMBER(D114),D114,""),"")))</f>
        <v/>
      </c>
      <c r="K114" s="25" t="str">
        <f aca="false">IF(OR(C114="",G114&lt;&gt;"friends &amp; family"),"",IF(C114=B114,1,0))</f>
        <v/>
      </c>
    </row>
    <row r="115" customFormat="false" ht="15" hidden="false" customHeight="true" outlineLevel="0" collapsed="false">
      <c r="A115" s="9"/>
      <c r="B115" s="9"/>
      <c r="C115" s="9"/>
      <c r="D115" s="9"/>
      <c r="E115" s="9"/>
      <c r="F115" s="9"/>
      <c r="G115" s="25" t="str">
        <f aca="false">IFERROR(INDEX(Participants!$T$6:$T$205,MATCH(A115,Participants!$A$6:$A$205,0)),"")</f>
        <v/>
      </c>
      <c r="H115" s="25" t="str">
        <f aca="false">IF(OR(C115="",G115&lt;&gt;"stranger"),"",IF(C115=B115,1,0))</f>
        <v/>
      </c>
      <c r="I115" s="25" t="str">
        <f aca="false">IF(G115&lt;&gt;"stranger","",IF(B115="A",IF(ISNUMBER(D115),D115,""),IF(B115="B",IF(ISNUMBER(E115),E115,""),"")))</f>
        <v/>
      </c>
      <c r="J115" s="25" t="str">
        <f aca="false">IF(G115&lt;&gt;"stranger","",IF(B115="A",IF(ISNUMBER(E115),E115,""),IF(B115="B",IF(ISNUMBER(D115),D115,""),"")))</f>
        <v/>
      </c>
      <c r="K115" s="25" t="str">
        <f aca="false">IF(OR(C115="",G115&lt;&gt;"friends &amp; family"),"",IF(C115=B115,1,0))</f>
        <v/>
      </c>
    </row>
    <row r="116" customFormat="false" ht="15" hidden="false" customHeight="true" outlineLevel="0" collapsed="false">
      <c r="A116" s="9"/>
      <c r="B116" s="9"/>
      <c r="C116" s="9"/>
      <c r="D116" s="9"/>
      <c r="E116" s="9"/>
      <c r="F116" s="9"/>
      <c r="G116" s="25" t="str">
        <f aca="false">IFERROR(INDEX(Participants!$T$6:$T$205,MATCH(A116,Participants!$A$6:$A$205,0)),"")</f>
        <v/>
      </c>
      <c r="H116" s="25" t="str">
        <f aca="false">IF(OR(C116="",G116&lt;&gt;"stranger"),"",IF(C116=B116,1,0))</f>
        <v/>
      </c>
      <c r="I116" s="25" t="str">
        <f aca="false">IF(G116&lt;&gt;"stranger","",IF(B116="A",IF(ISNUMBER(D116),D116,""),IF(B116="B",IF(ISNUMBER(E116),E116,""),"")))</f>
        <v/>
      </c>
      <c r="J116" s="25" t="str">
        <f aca="false">IF(G116&lt;&gt;"stranger","",IF(B116="A",IF(ISNUMBER(E116),E116,""),IF(B116="B",IF(ISNUMBER(D116),D116,""),"")))</f>
        <v/>
      </c>
      <c r="K116" s="25" t="str">
        <f aca="false">IF(OR(C116="",G116&lt;&gt;"friends &amp; family"),"",IF(C116=B116,1,0))</f>
        <v/>
      </c>
    </row>
    <row r="117" customFormat="false" ht="15" hidden="false" customHeight="true" outlineLevel="0" collapsed="false">
      <c r="A117" s="9"/>
      <c r="B117" s="9"/>
      <c r="C117" s="9"/>
      <c r="D117" s="9"/>
      <c r="E117" s="9"/>
      <c r="F117" s="9"/>
      <c r="G117" s="25" t="str">
        <f aca="false">IFERROR(INDEX(Participants!$T$6:$T$205,MATCH(A117,Participants!$A$6:$A$205,0)),"")</f>
        <v/>
      </c>
      <c r="H117" s="25" t="str">
        <f aca="false">IF(OR(C117="",G117&lt;&gt;"stranger"),"",IF(C117=B117,1,0))</f>
        <v/>
      </c>
      <c r="I117" s="25" t="str">
        <f aca="false">IF(G117&lt;&gt;"stranger","",IF(B117="A",IF(ISNUMBER(D117),D117,""),IF(B117="B",IF(ISNUMBER(E117),E117,""),"")))</f>
        <v/>
      </c>
      <c r="J117" s="25" t="str">
        <f aca="false">IF(G117&lt;&gt;"stranger","",IF(B117="A",IF(ISNUMBER(E117),E117,""),IF(B117="B",IF(ISNUMBER(D117),D117,""),"")))</f>
        <v/>
      </c>
      <c r="K117" s="25" t="str">
        <f aca="false">IF(OR(C117="",G117&lt;&gt;"friends &amp; family"),"",IF(C117=B117,1,0))</f>
        <v/>
      </c>
    </row>
    <row r="118" customFormat="false" ht="15" hidden="false" customHeight="true" outlineLevel="0" collapsed="false">
      <c r="A118" s="9"/>
      <c r="B118" s="9"/>
      <c r="C118" s="9"/>
      <c r="D118" s="9"/>
      <c r="E118" s="9"/>
      <c r="F118" s="9"/>
      <c r="G118" s="25" t="str">
        <f aca="false">IFERROR(INDEX(Participants!$T$6:$T$205,MATCH(A118,Participants!$A$6:$A$205,0)),"")</f>
        <v/>
      </c>
      <c r="H118" s="25" t="str">
        <f aca="false">IF(OR(C118="",G118&lt;&gt;"stranger"),"",IF(C118=B118,1,0))</f>
        <v/>
      </c>
      <c r="I118" s="25" t="str">
        <f aca="false">IF(G118&lt;&gt;"stranger","",IF(B118="A",IF(ISNUMBER(D118),D118,""),IF(B118="B",IF(ISNUMBER(E118),E118,""),"")))</f>
        <v/>
      </c>
      <c r="J118" s="25" t="str">
        <f aca="false">IF(G118&lt;&gt;"stranger","",IF(B118="A",IF(ISNUMBER(E118),E118,""),IF(B118="B",IF(ISNUMBER(D118),D118,""),"")))</f>
        <v/>
      </c>
      <c r="K118" s="25" t="str">
        <f aca="false">IF(OR(C118="",G118&lt;&gt;"friends &amp; family"),"",IF(C118=B118,1,0))</f>
        <v/>
      </c>
    </row>
    <row r="119" customFormat="false" ht="15" hidden="false" customHeight="true" outlineLevel="0" collapsed="false">
      <c r="A119" s="9"/>
      <c r="B119" s="9"/>
      <c r="C119" s="9"/>
      <c r="D119" s="9"/>
      <c r="E119" s="9"/>
      <c r="F119" s="9"/>
      <c r="G119" s="25" t="str">
        <f aca="false">IFERROR(INDEX(Participants!$T$6:$T$205,MATCH(A119,Participants!$A$6:$A$205,0)),"")</f>
        <v/>
      </c>
      <c r="H119" s="25" t="str">
        <f aca="false">IF(OR(C119="",G119&lt;&gt;"stranger"),"",IF(C119=B119,1,0))</f>
        <v/>
      </c>
      <c r="I119" s="25" t="str">
        <f aca="false">IF(G119&lt;&gt;"stranger","",IF(B119="A",IF(ISNUMBER(D119),D119,""),IF(B119="B",IF(ISNUMBER(E119),E119,""),"")))</f>
        <v/>
      </c>
      <c r="J119" s="25" t="str">
        <f aca="false">IF(G119&lt;&gt;"stranger","",IF(B119="A",IF(ISNUMBER(E119),E119,""),IF(B119="B",IF(ISNUMBER(D119),D119,""),"")))</f>
        <v/>
      </c>
      <c r="K119" s="25" t="str">
        <f aca="false">IF(OR(C119="",G119&lt;&gt;"friends &amp; family"),"",IF(C119=B119,1,0))</f>
        <v/>
      </c>
    </row>
    <row r="120" customFormat="false" ht="15" hidden="false" customHeight="true" outlineLevel="0" collapsed="false">
      <c r="A120" s="9"/>
      <c r="B120" s="9"/>
      <c r="C120" s="9"/>
      <c r="D120" s="9"/>
      <c r="E120" s="9"/>
      <c r="F120" s="9"/>
      <c r="G120" s="25" t="str">
        <f aca="false">IFERROR(INDEX(Participants!$T$6:$T$205,MATCH(A120,Participants!$A$6:$A$205,0)),"")</f>
        <v/>
      </c>
      <c r="H120" s="25" t="str">
        <f aca="false">IF(OR(C120="",G120&lt;&gt;"stranger"),"",IF(C120=B120,1,0))</f>
        <v/>
      </c>
      <c r="I120" s="25" t="str">
        <f aca="false">IF(G120&lt;&gt;"stranger","",IF(B120="A",IF(ISNUMBER(D120),D120,""),IF(B120="B",IF(ISNUMBER(E120),E120,""),"")))</f>
        <v/>
      </c>
      <c r="J120" s="25" t="str">
        <f aca="false">IF(G120&lt;&gt;"stranger","",IF(B120="A",IF(ISNUMBER(E120),E120,""),IF(B120="B",IF(ISNUMBER(D120),D120,""),"")))</f>
        <v/>
      </c>
      <c r="K120" s="25" t="str">
        <f aca="false">IF(OR(C120="",G120&lt;&gt;"friends &amp; family"),"",IF(C120=B120,1,0))</f>
        <v/>
      </c>
    </row>
    <row r="121" customFormat="false" ht="15" hidden="false" customHeight="true" outlineLevel="0" collapsed="false">
      <c r="A121" s="9"/>
      <c r="B121" s="9"/>
      <c r="C121" s="9"/>
      <c r="D121" s="9"/>
      <c r="E121" s="9"/>
      <c r="F121" s="9"/>
      <c r="G121" s="25" t="str">
        <f aca="false">IFERROR(INDEX(Participants!$T$6:$T$205,MATCH(A121,Participants!$A$6:$A$205,0)),"")</f>
        <v/>
      </c>
      <c r="H121" s="25" t="str">
        <f aca="false">IF(OR(C121="",G121&lt;&gt;"stranger"),"",IF(C121=B121,1,0))</f>
        <v/>
      </c>
      <c r="I121" s="25" t="str">
        <f aca="false">IF(G121&lt;&gt;"stranger","",IF(B121="A",IF(ISNUMBER(D121),D121,""),IF(B121="B",IF(ISNUMBER(E121),E121,""),"")))</f>
        <v/>
      </c>
      <c r="J121" s="25" t="str">
        <f aca="false">IF(G121&lt;&gt;"stranger","",IF(B121="A",IF(ISNUMBER(E121),E121,""),IF(B121="B",IF(ISNUMBER(D121),D121,""),"")))</f>
        <v/>
      </c>
      <c r="K121" s="25" t="str">
        <f aca="false">IF(OR(C121="",G121&lt;&gt;"friends &amp; family"),"",IF(C121=B121,1,0))</f>
        <v/>
      </c>
    </row>
    <row r="122" customFormat="false" ht="15" hidden="false" customHeight="true" outlineLevel="0" collapsed="false">
      <c r="A122" s="9"/>
      <c r="B122" s="9"/>
      <c r="C122" s="9"/>
      <c r="D122" s="9"/>
      <c r="E122" s="9"/>
      <c r="F122" s="9"/>
      <c r="G122" s="25" t="str">
        <f aca="false">IFERROR(INDEX(Participants!$T$6:$T$205,MATCH(A122,Participants!$A$6:$A$205,0)),"")</f>
        <v/>
      </c>
      <c r="H122" s="25" t="str">
        <f aca="false">IF(OR(C122="",G122&lt;&gt;"stranger"),"",IF(C122=B122,1,0))</f>
        <v/>
      </c>
      <c r="I122" s="25" t="str">
        <f aca="false">IF(G122&lt;&gt;"stranger","",IF(B122="A",IF(ISNUMBER(D122),D122,""),IF(B122="B",IF(ISNUMBER(E122),E122,""),"")))</f>
        <v/>
      </c>
      <c r="J122" s="25" t="str">
        <f aca="false">IF(G122&lt;&gt;"stranger","",IF(B122="A",IF(ISNUMBER(E122),E122,""),IF(B122="B",IF(ISNUMBER(D122),D122,""),"")))</f>
        <v/>
      </c>
      <c r="K122" s="25" t="str">
        <f aca="false">IF(OR(C122="",G122&lt;&gt;"friends &amp; family"),"",IF(C122=B122,1,0))</f>
        <v/>
      </c>
    </row>
    <row r="123" customFormat="false" ht="15" hidden="false" customHeight="true" outlineLevel="0" collapsed="false">
      <c r="A123" s="9"/>
      <c r="B123" s="9"/>
      <c r="C123" s="9"/>
      <c r="D123" s="9"/>
      <c r="E123" s="9"/>
      <c r="F123" s="9"/>
      <c r="G123" s="25" t="str">
        <f aca="false">IFERROR(INDEX(Participants!$T$6:$T$205,MATCH(A123,Participants!$A$6:$A$205,0)),"")</f>
        <v/>
      </c>
      <c r="H123" s="25" t="str">
        <f aca="false">IF(OR(C123="",G123&lt;&gt;"stranger"),"",IF(C123=B123,1,0))</f>
        <v/>
      </c>
      <c r="I123" s="25" t="str">
        <f aca="false">IF(G123&lt;&gt;"stranger","",IF(B123="A",IF(ISNUMBER(D123),D123,""),IF(B123="B",IF(ISNUMBER(E123),E123,""),"")))</f>
        <v/>
      </c>
      <c r="J123" s="25" t="str">
        <f aca="false">IF(G123&lt;&gt;"stranger","",IF(B123="A",IF(ISNUMBER(E123),E123,""),IF(B123="B",IF(ISNUMBER(D123),D123,""),"")))</f>
        <v/>
      </c>
      <c r="K123" s="25" t="str">
        <f aca="false">IF(OR(C123="",G123&lt;&gt;"friends &amp; family"),"",IF(C123=B123,1,0))</f>
        <v/>
      </c>
    </row>
    <row r="124" customFormat="false" ht="15" hidden="false" customHeight="true" outlineLevel="0" collapsed="false">
      <c r="A124" s="9"/>
      <c r="B124" s="9"/>
      <c r="C124" s="9"/>
      <c r="D124" s="9"/>
      <c r="E124" s="9"/>
      <c r="F124" s="9"/>
      <c r="G124" s="25" t="str">
        <f aca="false">IFERROR(INDEX(Participants!$T$6:$T$205,MATCH(A124,Participants!$A$6:$A$205,0)),"")</f>
        <v/>
      </c>
      <c r="H124" s="25" t="str">
        <f aca="false">IF(OR(C124="",G124&lt;&gt;"stranger"),"",IF(C124=B124,1,0))</f>
        <v/>
      </c>
      <c r="I124" s="25" t="str">
        <f aca="false">IF(G124&lt;&gt;"stranger","",IF(B124="A",IF(ISNUMBER(D124),D124,""),IF(B124="B",IF(ISNUMBER(E124),E124,""),"")))</f>
        <v/>
      </c>
      <c r="J124" s="25" t="str">
        <f aca="false">IF(G124&lt;&gt;"stranger","",IF(B124="A",IF(ISNUMBER(E124),E124,""),IF(B124="B",IF(ISNUMBER(D124),D124,""),"")))</f>
        <v/>
      </c>
      <c r="K124" s="25" t="str">
        <f aca="false">IF(OR(C124="",G124&lt;&gt;"friends &amp; family"),"",IF(C124=B124,1,0))</f>
        <v/>
      </c>
    </row>
    <row r="125" customFormat="false" ht="15" hidden="false" customHeight="true" outlineLevel="0" collapsed="false">
      <c r="A125" s="9"/>
      <c r="B125" s="9"/>
      <c r="C125" s="9"/>
      <c r="D125" s="9"/>
      <c r="E125" s="9"/>
      <c r="F125" s="9"/>
      <c r="G125" s="25" t="str">
        <f aca="false">IFERROR(INDEX(Participants!$T$6:$T$205,MATCH(A125,Participants!$A$6:$A$205,0)),"")</f>
        <v/>
      </c>
      <c r="H125" s="25" t="str">
        <f aca="false">IF(OR(C125="",G125&lt;&gt;"stranger"),"",IF(C125=B125,1,0))</f>
        <v/>
      </c>
      <c r="I125" s="25" t="str">
        <f aca="false">IF(G125&lt;&gt;"stranger","",IF(B125="A",IF(ISNUMBER(D125),D125,""),IF(B125="B",IF(ISNUMBER(E125),E125,""),"")))</f>
        <v/>
      </c>
      <c r="J125" s="25" t="str">
        <f aca="false">IF(G125&lt;&gt;"stranger","",IF(B125="A",IF(ISNUMBER(E125),E125,""),IF(B125="B",IF(ISNUMBER(D125),D125,""),"")))</f>
        <v/>
      </c>
      <c r="K125" s="25" t="str">
        <f aca="false">IF(OR(C125="",G125&lt;&gt;"friends &amp; family"),"",IF(C125=B125,1,0))</f>
        <v/>
      </c>
    </row>
    <row r="126" customFormat="false" ht="15" hidden="false" customHeight="true" outlineLevel="0" collapsed="false">
      <c r="A126" s="9"/>
      <c r="B126" s="9"/>
      <c r="C126" s="9"/>
      <c r="D126" s="9"/>
      <c r="E126" s="9"/>
      <c r="F126" s="9"/>
      <c r="G126" s="25" t="str">
        <f aca="false">IFERROR(INDEX(Participants!$T$6:$T$205,MATCH(A126,Participants!$A$6:$A$205,0)),"")</f>
        <v/>
      </c>
      <c r="H126" s="25" t="str">
        <f aca="false">IF(OR(C126="",G126&lt;&gt;"stranger"),"",IF(C126=B126,1,0))</f>
        <v/>
      </c>
      <c r="I126" s="25" t="str">
        <f aca="false">IF(G126&lt;&gt;"stranger","",IF(B126="A",IF(ISNUMBER(D126),D126,""),IF(B126="B",IF(ISNUMBER(E126),E126,""),"")))</f>
        <v/>
      </c>
      <c r="J126" s="25" t="str">
        <f aca="false">IF(G126&lt;&gt;"stranger","",IF(B126="A",IF(ISNUMBER(E126),E126,""),IF(B126="B",IF(ISNUMBER(D126),D126,""),"")))</f>
        <v/>
      </c>
      <c r="K126" s="25" t="str">
        <f aca="false">IF(OR(C126="",G126&lt;&gt;"friends &amp; family"),"",IF(C126=B126,1,0))</f>
        <v/>
      </c>
    </row>
    <row r="127" customFormat="false" ht="15" hidden="false" customHeight="true" outlineLevel="0" collapsed="false">
      <c r="A127" s="9"/>
      <c r="B127" s="9"/>
      <c r="C127" s="9"/>
      <c r="D127" s="9"/>
      <c r="E127" s="9"/>
      <c r="F127" s="9"/>
      <c r="G127" s="25" t="str">
        <f aca="false">IFERROR(INDEX(Participants!$T$6:$T$205,MATCH(A127,Participants!$A$6:$A$205,0)),"")</f>
        <v/>
      </c>
      <c r="H127" s="25" t="str">
        <f aca="false">IF(OR(C127="",G127&lt;&gt;"stranger"),"",IF(C127=B127,1,0))</f>
        <v/>
      </c>
      <c r="I127" s="25" t="str">
        <f aca="false">IF(G127&lt;&gt;"stranger","",IF(B127="A",IF(ISNUMBER(D127),D127,""),IF(B127="B",IF(ISNUMBER(E127),E127,""),"")))</f>
        <v/>
      </c>
      <c r="J127" s="25" t="str">
        <f aca="false">IF(G127&lt;&gt;"stranger","",IF(B127="A",IF(ISNUMBER(E127),E127,""),IF(B127="B",IF(ISNUMBER(D127),D127,""),"")))</f>
        <v/>
      </c>
      <c r="K127" s="25" t="str">
        <f aca="false">IF(OR(C127="",G127&lt;&gt;"friends &amp; family"),"",IF(C127=B127,1,0))</f>
        <v/>
      </c>
    </row>
    <row r="128" customFormat="false" ht="15" hidden="false" customHeight="true" outlineLevel="0" collapsed="false">
      <c r="A128" s="9"/>
      <c r="B128" s="9"/>
      <c r="C128" s="9"/>
      <c r="D128" s="9"/>
      <c r="E128" s="9"/>
      <c r="F128" s="9"/>
      <c r="G128" s="25" t="str">
        <f aca="false">IFERROR(INDEX(Participants!$T$6:$T$205,MATCH(A128,Participants!$A$6:$A$205,0)),"")</f>
        <v/>
      </c>
      <c r="H128" s="25" t="str">
        <f aca="false">IF(OR(C128="",G128&lt;&gt;"stranger"),"",IF(C128=B128,1,0))</f>
        <v/>
      </c>
      <c r="I128" s="25" t="str">
        <f aca="false">IF(G128&lt;&gt;"stranger","",IF(B128="A",IF(ISNUMBER(D128),D128,""),IF(B128="B",IF(ISNUMBER(E128),E128,""),"")))</f>
        <v/>
      </c>
      <c r="J128" s="25" t="str">
        <f aca="false">IF(G128&lt;&gt;"stranger","",IF(B128="A",IF(ISNUMBER(E128),E128,""),IF(B128="B",IF(ISNUMBER(D128),D128,""),"")))</f>
        <v/>
      </c>
      <c r="K128" s="25" t="str">
        <f aca="false">IF(OR(C128="",G128&lt;&gt;"friends &amp; family"),"",IF(C128=B128,1,0))</f>
        <v/>
      </c>
    </row>
    <row r="129" customFormat="false" ht="15" hidden="false" customHeight="true" outlineLevel="0" collapsed="false">
      <c r="A129" s="9"/>
      <c r="B129" s="9"/>
      <c r="C129" s="9"/>
      <c r="D129" s="9"/>
      <c r="E129" s="9"/>
      <c r="F129" s="9"/>
      <c r="G129" s="25" t="str">
        <f aca="false">IFERROR(INDEX(Participants!$T$6:$T$205,MATCH(A129,Participants!$A$6:$A$205,0)),"")</f>
        <v/>
      </c>
      <c r="H129" s="25" t="str">
        <f aca="false">IF(OR(C129="",G129&lt;&gt;"stranger"),"",IF(C129=B129,1,0))</f>
        <v/>
      </c>
      <c r="I129" s="25" t="str">
        <f aca="false">IF(G129&lt;&gt;"stranger","",IF(B129="A",IF(ISNUMBER(D129),D129,""),IF(B129="B",IF(ISNUMBER(E129),E129,""),"")))</f>
        <v/>
      </c>
      <c r="J129" s="25" t="str">
        <f aca="false">IF(G129&lt;&gt;"stranger","",IF(B129="A",IF(ISNUMBER(E129),E129,""),IF(B129="B",IF(ISNUMBER(D129),D129,""),"")))</f>
        <v/>
      </c>
      <c r="K129" s="25" t="str">
        <f aca="false">IF(OR(C129="",G129&lt;&gt;"friends &amp; family"),"",IF(C129=B129,1,0))</f>
        <v/>
      </c>
    </row>
    <row r="130" customFormat="false" ht="15" hidden="false" customHeight="true" outlineLevel="0" collapsed="false">
      <c r="A130" s="9"/>
      <c r="B130" s="9"/>
      <c r="C130" s="9"/>
      <c r="D130" s="9"/>
      <c r="E130" s="9"/>
      <c r="F130" s="9"/>
      <c r="G130" s="25" t="str">
        <f aca="false">IFERROR(INDEX(Participants!$T$6:$T$205,MATCH(A130,Participants!$A$6:$A$205,0)),"")</f>
        <v/>
      </c>
      <c r="H130" s="25" t="str">
        <f aca="false">IF(OR(C130="",G130&lt;&gt;"stranger"),"",IF(C130=B130,1,0))</f>
        <v/>
      </c>
      <c r="I130" s="25" t="str">
        <f aca="false">IF(G130&lt;&gt;"stranger","",IF(B130="A",IF(ISNUMBER(D130),D130,""),IF(B130="B",IF(ISNUMBER(E130),E130,""),"")))</f>
        <v/>
      </c>
      <c r="J130" s="25" t="str">
        <f aca="false">IF(G130&lt;&gt;"stranger","",IF(B130="A",IF(ISNUMBER(E130),E130,""),IF(B130="B",IF(ISNUMBER(D130),D130,""),"")))</f>
        <v/>
      </c>
      <c r="K130" s="25" t="str">
        <f aca="false">IF(OR(C130="",G130&lt;&gt;"friends &amp; family"),"",IF(C130=B130,1,0))</f>
        <v/>
      </c>
    </row>
    <row r="131" customFormat="false" ht="15" hidden="false" customHeight="true" outlineLevel="0" collapsed="false">
      <c r="A131" s="9"/>
      <c r="B131" s="9"/>
      <c r="C131" s="9"/>
      <c r="D131" s="9"/>
      <c r="E131" s="9"/>
      <c r="F131" s="9"/>
      <c r="G131" s="25" t="str">
        <f aca="false">IFERROR(INDEX(Participants!$T$6:$T$205,MATCH(A131,Participants!$A$6:$A$205,0)),"")</f>
        <v/>
      </c>
      <c r="H131" s="25" t="str">
        <f aca="false">IF(OR(C131="",G131&lt;&gt;"stranger"),"",IF(C131=B131,1,0))</f>
        <v/>
      </c>
      <c r="I131" s="25" t="str">
        <f aca="false">IF(G131&lt;&gt;"stranger","",IF(B131="A",IF(ISNUMBER(D131),D131,""),IF(B131="B",IF(ISNUMBER(E131),E131,""),"")))</f>
        <v/>
      </c>
      <c r="J131" s="25" t="str">
        <f aca="false">IF(G131&lt;&gt;"stranger","",IF(B131="A",IF(ISNUMBER(E131),E131,""),IF(B131="B",IF(ISNUMBER(D131),D131,""),"")))</f>
        <v/>
      </c>
      <c r="K131" s="25" t="str">
        <f aca="false">IF(OR(C131="",G131&lt;&gt;"friends &amp; family"),"",IF(C131=B131,1,0))</f>
        <v/>
      </c>
    </row>
    <row r="132" customFormat="false" ht="15" hidden="false" customHeight="true" outlineLevel="0" collapsed="false">
      <c r="A132" s="9"/>
      <c r="B132" s="9"/>
      <c r="C132" s="9"/>
      <c r="D132" s="9"/>
      <c r="E132" s="9"/>
      <c r="F132" s="9"/>
      <c r="G132" s="25" t="str">
        <f aca="false">IFERROR(INDEX(Participants!$T$6:$T$205,MATCH(A132,Participants!$A$6:$A$205,0)),"")</f>
        <v/>
      </c>
      <c r="H132" s="25" t="str">
        <f aca="false">IF(OR(C132="",G132&lt;&gt;"stranger"),"",IF(C132=B132,1,0))</f>
        <v/>
      </c>
      <c r="I132" s="25" t="str">
        <f aca="false">IF(G132&lt;&gt;"stranger","",IF(B132="A",IF(ISNUMBER(D132),D132,""),IF(B132="B",IF(ISNUMBER(E132),E132,""),"")))</f>
        <v/>
      </c>
      <c r="J132" s="25" t="str">
        <f aca="false">IF(G132&lt;&gt;"stranger","",IF(B132="A",IF(ISNUMBER(E132),E132,""),IF(B132="B",IF(ISNUMBER(D132),D132,""),"")))</f>
        <v/>
      </c>
      <c r="K132" s="25" t="str">
        <f aca="false">IF(OR(C132="",G132&lt;&gt;"friends &amp; family"),"",IF(C132=B132,1,0))</f>
        <v/>
      </c>
    </row>
    <row r="133" customFormat="false" ht="15" hidden="false" customHeight="true" outlineLevel="0" collapsed="false">
      <c r="A133" s="9"/>
      <c r="B133" s="9"/>
      <c r="C133" s="9"/>
      <c r="D133" s="9"/>
      <c r="E133" s="9"/>
      <c r="F133" s="9"/>
      <c r="G133" s="25" t="str">
        <f aca="false">IFERROR(INDEX(Participants!$T$6:$T$205,MATCH(A133,Participants!$A$6:$A$205,0)),"")</f>
        <v/>
      </c>
      <c r="H133" s="25" t="str">
        <f aca="false">IF(OR(C133="",G133&lt;&gt;"stranger"),"",IF(C133=B133,1,0))</f>
        <v/>
      </c>
      <c r="I133" s="25" t="str">
        <f aca="false">IF(G133&lt;&gt;"stranger","",IF(B133="A",IF(ISNUMBER(D133),D133,""),IF(B133="B",IF(ISNUMBER(E133),E133,""),"")))</f>
        <v/>
      </c>
      <c r="J133" s="25" t="str">
        <f aca="false">IF(G133&lt;&gt;"stranger","",IF(B133="A",IF(ISNUMBER(E133),E133,""),IF(B133="B",IF(ISNUMBER(D133),D133,""),"")))</f>
        <v/>
      </c>
      <c r="K133" s="25" t="str">
        <f aca="false">IF(OR(C133="",G133&lt;&gt;"friends &amp; family"),"",IF(C133=B133,1,0))</f>
        <v/>
      </c>
    </row>
    <row r="134" customFormat="false" ht="15" hidden="false" customHeight="true" outlineLevel="0" collapsed="false">
      <c r="A134" s="9"/>
      <c r="B134" s="9"/>
      <c r="C134" s="9"/>
      <c r="D134" s="9"/>
      <c r="E134" s="9"/>
      <c r="F134" s="9"/>
      <c r="G134" s="25" t="str">
        <f aca="false">IFERROR(INDEX(Participants!$T$6:$T$205,MATCH(A134,Participants!$A$6:$A$205,0)),"")</f>
        <v/>
      </c>
      <c r="H134" s="25" t="str">
        <f aca="false">IF(OR(C134="",G134&lt;&gt;"stranger"),"",IF(C134=B134,1,0))</f>
        <v/>
      </c>
      <c r="I134" s="25" t="str">
        <f aca="false">IF(G134&lt;&gt;"stranger","",IF(B134="A",IF(ISNUMBER(D134),D134,""),IF(B134="B",IF(ISNUMBER(E134),E134,""),"")))</f>
        <v/>
      </c>
      <c r="J134" s="25" t="str">
        <f aca="false">IF(G134&lt;&gt;"stranger","",IF(B134="A",IF(ISNUMBER(E134),E134,""),IF(B134="B",IF(ISNUMBER(D134),D134,""),"")))</f>
        <v/>
      </c>
      <c r="K134" s="25" t="str">
        <f aca="false">IF(OR(C134="",G134&lt;&gt;"friends &amp; family"),"",IF(C134=B134,1,0))</f>
        <v/>
      </c>
    </row>
    <row r="135" customFormat="false" ht="15" hidden="false" customHeight="true" outlineLevel="0" collapsed="false">
      <c r="A135" s="9"/>
      <c r="B135" s="9"/>
      <c r="C135" s="9"/>
      <c r="D135" s="9"/>
      <c r="E135" s="9"/>
      <c r="F135" s="9"/>
      <c r="G135" s="25" t="str">
        <f aca="false">IFERROR(INDEX(Participants!$T$6:$T$205,MATCH(A135,Participants!$A$6:$A$205,0)),"")</f>
        <v/>
      </c>
      <c r="H135" s="25" t="str">
        <f aca="false">IF(OR(C135="",G135&lt;&gt;"stranger"),"",IF(C135=B135,1,0))</f>
        <v/>
      </c>
      <c r="I135" s="25" t="str">
        <f aca="false">IF(G135&lt;&gt;"stranger","",IF(B135="A",IF(ISNUMBER(D135),D135,""),IF(B135="B",IF(ISNUMBER(E135),E135,""),"")))</f>
        <v/>
      </c>
      <c r="J135" s="25" t="str">
        <f aca="false">IF(G135&lt;&gt;"stranger","",IF(B135="A",IF(ISNUMBER(E135),E135,""),IF(B135="B",IF(ISNUMBER(D135),D135,""),"")))</f>
        <v/>
      </c>
      <c r="K135" s="25" t="str">
        <f aca="false">IF(OR(C135="",G135&lt;&gt;"friends &amp; family"),"",IF(C135=B135,1,0))</f>
        <v/>
      </c>
    </row>
    <row r="136" customFormat="false" ht="15" hidden="false" customHeight="true" outlineLevel="0" collapsed="false">
      <c r="A136" s="9"/>
      <c r="B136" s="9"/>
      <c r="C136" s="9"/>
      <c r="D136" s="9"/>
      <c r="E136" s="9"/>
      <c r="F136" s="9"/>
      <c r="G136" s="25" t="str">
        <f aca="false">IFERROR(INDEX(Participants!$T$6:$T$205,MATCH(A136,Participants!$A$6:$A$205,0)),"")</f>
        <v/>
      </c>
      <c r="H136" s="25" t="str">
        <f aca="false">IF(OR(C136="",G136&lt;&gt;"stranger"),"",IF(C136=B136,1,0))</f>
        <v/>
      </c>
      <c r="I136" s="25" t="str">
        <f aca="false">IF(G136&lt;&gt;"stranger","",IF(B136="A",IF(ISNUMBER(D136),D136,""),IF(B136="B",IF(ISNUMBER(E136),E136,""),"")))</f>
        <v/>
      </c>
      <c r="J136" s="25" t="str">
        <f aca="false">IF(G136&lt;&gt;"stranger","",IF(B136="A",IF(ISNUMBER(E136),E136,""),IF(B136="B",IF(ISNUMBER(D136),D136,""),"")))</f>
        <v/>
      </c>
      <c r="K136" s="25" t="str">
        <f aca="false">IF(OR(C136="",G136&lt;&gt;"friends &amp; family"),"",IF(C136=B136,1,0))</f>
        <v/>
      </c>
    </row>
    <row r="137" customFormat="false" ht="15" hidden="false" customHeight="true" outlineLevel="0" collapsed="false">
      <c r="A137" s="9"/>
      <c r="B137" s="9"/>
      <c r="C137" s="9"/>
      <c r="D137" s="9"/>
      <c r="E137" s="9"/>
      <c r="F137" s="9"/>
      <c r="G137" s="25" t="str">
        <f aca="false">IFERROR(INDEX(Participants!$T$6:$T$205,MATCH(A137,Participants!$A$6:$A$205,0)),"")</f>
        <v/>
      </c>
      <c r="H137" s="25" t="str">
        <f aca="false">IF(OR(C137="",G137&lt;&gt;"stranger"),"",IF(C137=B137,1,0))</f>
        <v/>
      </c>
      <c r="I137" s="25" t="str">
        <f aca="false">IF(G137&lt;&gt;"stranger","",IF(B137="A",IF(ISNUMBER(D137),D137,""),IF(B137="B",IF(ISNUMBER(E137),E137,""),"")))</f>
        <v/>
      </c>
      <c r="J137" s="25" t="str">
        <f aca="false">IF(G137&lt;&gt;"stranger","",IF(B137="A",IF(ISNUMBER(E137),E137,""),IF(B137="B",IF(ISNUMBER(D137),D137,""),"")))</f>
        <v/>
      </c>
      <c r="K137" s="25" t="str">
        <f aca="false">IF(OR(C137="",G137&lt;&gt;"friends &amp; family"),"",IF(C137=B137,1,0))</f>
        <v/>
      </c>
    </row>
    <row r="138" customFormat="false" ht="15" hidden="false" customHeight="true" outlineLevel="0" collapsed="false">
      <c r="A138" s="9"/>
      <c r="B138" s="9"/>
      <c r="C138" s="9"/>
      <c r="D138" s="9"/>
      <c r="E138" s="9"/>
      <c r="F138" s="9"/>
      <c r="G138" s="25" t="str">
        <f aca="false">IFERROR(INDEX(Participants!$T$6:$T$205,MATCH(A138,Participants!$A$6:$A$205,0)),"")</f>
        <v/>
      </c>
      <c r="H138" s="25" t="str">
        <f aca="false">IF(OR(C138="",G138&lt;&gt;"stranger"),"",IF(C138=B138,1,0))</f>
        <v/>
      </c>
      <c r="I138" s="25" t="str">
        <f aca="false">IF(G138&lt;&gt;"stranger","",IF(B138="A",IF(ISNUMBER(D138),D138,""),IF(B138="B",IF(ISNUMBER(E138),E138,""),"")))</f>
        <v/>
      </c>
      <c r="J138" s="25" t="str">
        <f aca="false">IF(G138&lt;&gt;"stranger","",IF(B138="A",IF(ISNUMBER(E138),E138,""),IF(B138="B",IF(ISNUMBER(D138),D138,""),"")))</f>
        <v/>
      </c>
      <c r="K138" s="25" t="str">
        <f aca="false">IF(OR(C138="",G138&lt;&gt;"friends &amp; family"),"",IF(C138=B138,1,0))</f>
        <v/>
      </c>
    </row>
    <row r="139" customFormat="false" ht="15" hidden="false" customHeight="true" outlineLevel="0" collapsed="false">
      <c r="A139" s="9"/>
      <c r="B139" s="9"/>
      <c r="C139" s="9"/>
      <c r="D139" s="9"/>
      <c r="E139" s="9"/>
      <c r="F139" s="9"/>
      <c r="G139" s="25" t="str">
        <f aca="false">IFERROR(INDEX(Participants!$T$6:$T$205,MATCH(A139,Participants!$A$6:$A$205,0)),"")</f>
        <v/>
      </c>
      <c r="H139" s="25" t="str">
        <f aca="false">IF(OR(C139="",G139&lt;&gt;"stranger"),"",IF(C139=B139,1,0))</f>
        <v/>
      </c>
      <c r="I139" s="25" t="str">
        <f aca="false">IF(G139&lt;&gt;"stranger","",IF(B139="A",IF(ISNUMBER(D139),D139,""),IF(B139="B",IF(ISNUMBER(E139),E139,""),"")))</f>
        <v/>
      </c>
      <c r="J139" s="25" t="str">
        <f aca="false">IF(G139&lt;&gt;"stranger","",IF(B139="A",IF(ISNUMBER(E139),E139,""),IF(B139="B",IF(ISNUMBER(D139),D139,""),"")))</f>
        <v/>
      </c>
      <c r="K139" s="25" t="str">
        <f aca="false">IF(OR(C139="",G139&lt;&gt;"friends &amp; family"),"",IF(C139=B139,1,0))</f>
        <v/>
      </c>
    </row>
    <row r="140" customFormat="false" ht="15" hidden="false" customHeight="true" outlineLevel="0" collapsed="false">
      <c r="A140" s="9"/>
      <c r="B140" s="9"/>
      <c r="C140" s="9"/>
      <c r="D140" s="9"/>
      <c r="E140" s="9"/>
      <c r="F140" s="9"/>
      <c r="G140" s="25" t="str">
        <f aca="false">IFERROR(INDEX(Participants!$T$6:$T$205,MATCH(A140,Participants!$A$6:$A$205,0)),"")</f>
        <v/>
      </c>
      <c r="H140" s="25" t="str">
        <f aca="false">IF(OR(C140="",G140&lt;&gt;"stranger"),"",IF(C140=B140,1,0))</f>
        <v/>
      </c>
      <c r="I140" s="25" t="str">
        <f aca="false">IF(G140&lt;&gt;"stranger","",IF(B140="A",IF(ISNUMBER(D140),D140,""),IF(B140="B",IF(ISNUMBER(E140),E140,""),"")))</f>
        <v/>
      </c>
      <c r="J140" s="25" t="str">
        <f aca="false">IF(G140&lt;&gt;"stranger","",IF(B140="A",IF(ISNUMBER(E140),E140,""),IF(B140="B",IF(ISNUMBER(D140),D140,""),"")))</f>
        <v/>
      </c>
      <c r="K140" s="25" t="str">
        <f aca="false">IF(OR(C140="",G140&lt;&gt;"friends &amp; family"),"",IF(C140=B140,1,0))</f>
        <v/>
      </c>
    </row>
    <row r="141" customFormat="false" ht="15" hidden="false" customHeight="true" outlineLevel="0" collapsed="false">
      <c r="A141" s="9"/>
      <c r="B141" s="9"/>
      <c r="C141" s="9"/>
      <c r="D141" s="9"/>
      <c r="E141" s="9"/>
      <c r="F141" s="9"/>
      <c r="G141" s="25" t="str">
        <f aca="false">IFERROR(INDEX(Participants!$T$6:$T$205,MATCH(A141,Participants!$A$6:$A$205,0)),"")</f>
        <v/>
      </c>
      <c r="H141" s="25" t="str">
        <f aca="false">IF(OR(C141="",G141&lt;&gt;"stranger"),"",IF(C141=B141,1,0))</f>
        <v/>
      </c>
      <c r="I141" s="25" t="str">
        <f aca="false">IF(G141&lt;&gt;"stranger","",IF(B141="A",IF(ISNUMBER(D141),D141,""),IF(B141="B",IF(ISNUMBER(E141),E141,""),"")))</f>
        <v/>
      </c>
      <c r="J141" s="25" t="str">
        <f aca="false">IF(G141&lt;&gt;"stranger","",IF(B141="A",IF(ISNUMBER(E141),E141,""),IF(B141="B",IF(ISNUMBER(D141),D141,""),"")))</f>
        <v/>
      </c>
      <c r="K141" s="25" t="str">
        <f aca="false">IF(OR(C141="",G141&lt;&gt;"friends &amp; family"),"",IF(C141=B141,1,0))</f>
        <v/>
      </c>
    </row>
    <row r="142" customFormat="false" ht="15" hidden="false" customHeight="true" outlineLevel="0" collapsed="false">
      <c r="A142" s="9"/>
      <c r="B142" s="9"/>
      <c r="C142" s="9"/>
      <c r="D142" s="9"/>
      <c r="E142" s="9"/>
      <c r="F142" s="9"/>
      <c r="G142" s="25" t="str">
        <f aca="false">IFERROR(INDEX(Participants!$T$6:$T$205,MATCH(A142,Participants!$A$6:$A$205,0)),"")</f>
        <v/>
      </c>
      <c r="H142" s="25" t="str">
        <f aca="false">IF(OR(C142="",G142&lt;&gt;"stranger"),"",IF(C142=B142,1,0))</f>
        <v/>
      </c>
      <c r="I142" s="25" t="str">
        <f aca="false">IF(G142&lt;&gt;"stranger","",IF(B142="A",IF(ISNUMBER(D142),D142,""),IF(B142="B",IF(ISNUMBER(E142),E142,""),"")))</f>
        <v/>
      </c>
      <c r="J142" s="25" t="str">
        <f aca="false">IF(G142&lt;&gt;"stranger","",IF(B142="A",IF(ISNUMBER(E142),E142,""),IF(B142="B",IF(ISNUMBER(D142),D142,""),"")))</f>
        <v/>
      </c>
      <c r="K142" s="25" t="str">
        <f aca="false">IF(OR(C142="",G142&lt;&gt;"friends &amp; family"),"",IF(C142=B142,1,0))</f>
        <v/>
      </c>
    </row>
    <row r="143" customFormat="false" ht="15" hidden="false" customHeight="true" outlineLevel="0" collapsed="false">
      <c r="A143" s="9"/>
      <c r="B143" s="9"/>
      <c r="C143" s="9"/>
      <c r="D143" s="9"/>
      <c r="E143" s="9"/>
      <c r="F143" s="9"/>
      <c r="G143" s="25" t="str">
        <f aca="false">IFERROR(INDEX(Participants!$T$6:$T$205,MATCH(A143,Participants!$A$6:$A$205,0)),"")</f>
        <v/>
      </c>
      <c r="H143" s="25" t="str">
        <f aca="false">IF(OR(C143="",G143&lt;&gt;"stranger"),"",IF(C143=B143,1,0))</f>
        <v/>
      </c>
      <c r="I143" s="25" t="str">
        <f aca="false">IF(G143&lt;&gt;"stranger","",IF(B143="A",IF(ISNUMBER(D143),D143,""),IF(B143="B",IF(ISNUMBER(E143),E143,""),"")))</f>
        <v/>
      </c>
      <c r="J143" s="25" t="str">
        <f aca="false">IF(G143&lt;&gt;"stranger","",IF(B143="A",IF(ISNUMBER(E143),E143,""),IF(B143="B",IF(ISNUMBER(D143),D143,""),"")))</f>
        <v/>
      </c>
      <c r="K143" s="25" t="str">
        <f aca="false">IF(OR(C143="",G143&lt;&gt;"friends &amp; family"),"",IF(C143=B143,1,0))</f>
        <v/>
      </c>
    </row>
    <row r="144" customFormat="false" ht="15" hidden="false" customHeight="true" outlineLevel="0" collapsed="false">
      <c r="A144" s="9"/>
      <c r="B144" s="9"/>
      <c r="C144" s="9"/>
      <c r="D144" s="9"/>
      <c r="E144" s="9"/>
      <c r="F144" s="9"/>
      <c r="G144" s="25" t="str">
        <f aca="false">IFERROR(INDEX(Participants!$T$6:$T$205,MATCH(A144,Participants!$A$6:$A$205,0)),"")</f>
        <v/>
      </c>
      <c r="H144" s="25" t="str">
        <f aca="false">IF(OR(C144="",G144&lt;&gt;"stranger"),"",IF(C144=B144,1,0))</f>
        <v/>
      </c>
      <c r="I144" s="25" t="str">
        <f aca="false">IF(G144&lt;&gt;"stranger","",IF(B144="A",IF(ISNUMBER(D144),D144,""),IF(B144="B",IF(ISNUMBER(E144),E144,""),"")))</f>
        <v/>
      </c>
      <c r="J144" s="25" t="str">
        <f aca="false">IF(G144&lt;&gt;"stranger","",IF(B144="A",IF(ISNUMBER(E144),E144,""),IF(B144="B",IF(ISNUMBER(D144),D144,""),"")))</f>
        <v/>
      </c>
      <c r="K144" s="25" t="str">
        <f aca="false">IF(OR(C144="",G144&lt;&gt;"friends &amp; family"),"",IF(C144=B144,1,0))</f>
        <v/>
      </c>
    </row>
    <row r="145" customFormat="false" ht="15" hidden="false" customHeight="true" outlineLevel="0" collapsed="false">
      <c r="A145" s="9"/>
      <c r="B145" s="9"/>
      <c r="C145" s="9"/>
      <c r="D145" s="9"/>
      <c r="E145" s="9"/>
      <c r="F145" s="9"/>
      <c r="G145" s="25" t="str">
        <f aca="false">IFERROR(INDEX(Participants!$T$6:$T$205,MATCH(A145,Participants!$A$6:$A$205,0)),"")</f>
        <v/>
      </c>
      <c r="H145" s="25" t="str">
        <f aca="false">IF(OR(C145="",G145&lt;&gt;"stranger"),"",IF(C145=B145,1,0))</f>
        <v/>
      </c>
      <c r="I145" s="25" t="str">
        <f aca="false">IF(G145&lt;&gt;"stranger","",IF(B145="A",IF(ISNUMBER(D145),D145,""),IF(B145="B",IF(ISNUMBER(E145),E145,""),"")))</f>
        <v/>
      </c>
      <c r="J145" s="25" t="str">
        <f aca="false">IF(G145&lt;&gt;"stranger","",IF(B145="A",IF(ISNUMBER(E145),E145,""),IF(B145="B",IF(ISNUMBER(D145),D145,""),"")))</f>
        <v/>
      </c>
      <c r="K145" s="25" t="str">
        <f aca="false">IF(OR(C145="",G145&lt;&gt;"friends &amp; family"),"",IF(C145=B145,1,0))</f>
        <v/>
      </c>
    </row>
    <row r="146" customFormat="false" ht="15" hidden="false" customHeight="true" outlineLevel="0" collapsed="false">
      <c r="A146" s="9"/>
      <c r="B146" s="9"/>
      <c r="C146" s="9"/>
      <c r="D146" s="9"/>
      <c r="E146" s="9"/>
      <c r="F146" s="9"/>
      <c r="G146" s="25" t="str">
        <f aca="false">IFERROR(INDEX(Participants!$T$6:$T$205,MATCH(A146,Participants!$A$6:$A$205,0)),"")</f>
        <v/>
      </c>
      <c r="H146" s="25" t="str">
        <f aca="false">IF(OR(C146="",G146&lt;&gt;"stranger"),"",IF(C146=B146,1,0))</f>
        <v/>
      </c>
      <c r="I146" s="25" t="str">
        <f aca="false">IF(G146&lt;&gt;"stranger","",IF(B146="A",IF(ISNUMBER(D146),D146,""),IF(B146="B",IF(ISNUMBER(E146),E146,""),"")))</f>
        <v/>
      </c>
      <c r="J146" s="25" t="str">
        <f aca="false">IF(G146&lt;&gt;"stranger","",IF(B146="A",IF(ISNUMBER(E146),E146,""),IF(B146="B",IF(ISNUMBER(D146),D146,""),"")))</f>
        <v/>
      </c>
      <c r="K146" s="25" t="str">
        <f aca="false">IF(OR(C146="",G146&lt;&gt;"friends &amp; family"),"",IF(C146=B146,1,0))</f>
        <v/>
      </c>
    </row>
    <row r="147" customFormat="false" ht="15" hidden="false" customHeight="true" outlineLevel="0" collapsed="false">
      <c r="A147" s="9"/>
      <c r="B147" s="9"/>
      <c r="C147" s="9"/>
      <c r="D147" s="9"/>
      <c r="E147" s="9"/>
      <c r="F147" s="9"/>
      <c r="G147" s="25" t="str">
        <f aca="false">IFERROR(INDEX(Participants!$T$6:$T$205,MATCH(A147,Participants!$A$6:$A$205,0)),"")</f>
        <v/>
      </c>
      <c r="H147" s="25" t="str">
        <f aca="false">IF(OR(C147="",G147&lt;&gt;"stranger"),"",IF(C147=B147,1,0))</f>
        <v/>
      </c>
      <c r="I147" s="25" t="str">
        <f aca="false">IF(G147&lt;&gt;"stranger","",IF(B147="A",IF(ISNUMBER(D147),D147,""),IF(B147="B",IF(ISNUMBER(E147),E147,""),"")))</f>
        <v/>
      </c>
      <c r="J147" s="25" t="str">
        <f aca="false">IF(G147&lt;&gt;"stranger","",IF(B147="A",IF(ISNUMBER(E147),E147,""),IF(B147="B",IF(ISNUMBER(D147),D147,""),"")))</f>
        <v/>
      </c>
      <c r="K147" s="25" t="str">
        <f aca="false">IF(OR(C147="",G147&lt;&gt;"friends &amp; family"),"",IF(C147=B147,1,0))</f>
        <v/>
      </c>
    </row>
    <row r="148" customFormat="false" ht="15" hidden="false" customHeight="true" outlineLevel="0" collapsed="false">
      <c r="A148" s="9"/>
      <c r="B148" s="9"/>
      <c r="C148" s="9"/>
      <c r="D148" s="9"/>
      <c r="E148" s="9"/>
      <c r="F148" s="9"/>
      <c r="G148" s="25" t="str">
        <f aca="false">IFERROR(INDEX(Participants!$T$6:$T$205,MATCH(A148,Participants!$A$6:$A$205,0)),"")</f>
        <v/>
      </c>
      <c r="H148" s="25" t="str">
        <f aca="false">IF(OR(C148="",G148&lt;&gt;"stranger"),"",IF(C148=B148,1,0))</f>
        <v/>
      </c>
      <c r="I148" s="25" t="str">
        <f aca="false">IF(G148&lt;&gt;"stranger","",IF(B148="A",IF(ISNUMBER(D148),D148,""),IF(B148="B",IF(ISNUMBER(E148),E148,""),"")))</f>
        <v/>
      </c>
      <c r="J148" s="25" t="str">
        <f aca="false">IF(G148&lt;&gt;"stranger","",IF(B148="A",IF(ISNUMBER(E148),E148,""),IF(B148="B",IF(ISNUMBER(D148),D148,""),"")))</f>
        <v/>
      </c>
      <c r="K148" s="25" t="str">
        <f aca="false">IF(OR(C148="",G148&lt;&gt;"friends &amp; family"),"",IF(C148=B148,1,0))</f>
        <v/>
      </c>
    </row>
    <row r="149" customFormat="false" ht="15" hidden="false" customHeight="true" outlineLevel="0" collapsed="false">
      <c r="A149" s="9"/>
      <c r="B149" s="9"/>
      <c r="C149" s="9"/>
      <c r="D149" s="9"/>
      <c r="E149" s="9"/>
      <c r="F149" s="9"/>
      <c r="G149" s="25" t="str">
        <f aca="false">IFERROR(INDEX(Participants!$T$6:$T$205,MATCH(A149,Participants!$A$6:$A$205,0)),"")</f>
        <v/>
      </c>
      <c r="H149" s="25" t="str">
        <f aca="false">IF(OR(C149="",G149&lt;&gt;"stranger"),"",IF(C149=B149,1,0))</f>
        <v/>
      </c>
      <c r="I149" s="25" t="str">
        <f aca="false">IF(G149&lt;&gt;"stranger","",IF(B149="A",IF(ISNUMBER(D149),D149,""),IF(B149="B",IF(ISNUMBER(E149),E149,""),"")))</f>
        <v/>
      </c>
      <c r="J149" s="25" t="str">
        <f aca="false">IF(G149&lt;&gt;"stranger","",IF(B149="A",IF(ISNUMBER(E149),E149,""),IF(B149="B",IF(ISNUMBER(D149),D149,""),"")))</f>
        <v/>
      </c>
      <c r="K149" s="25" t="str">
        <f aca="false">IF(OR(C149="",G149&lt;&gt;"friends &amp; family"),"",IF(C149=B149,1,0))</f>
        <v/>
      </c>
    </row>
    <row r="150" customFormat="false" ht="15" hidden="false" customHeight="true" outlineLevel="0" collapsed="false">
      <c r="A150" s="9"/>
      <c r="B150" s="9"/>
      <c r="C150" s="9"/>
      <c r="D150" s="9"/>
      <c r="E150" s="9"/>
      <c r="F150" s="9"/>
      <c r="G150" s="25" t="str">
        <f aca="false">IFERROR(INDEX(Participants!$T$6:$T$205,MATCH(A150,Participants!$A$6:$A$205,0)),"")</f>
        <v/>
      </c>
      <c r="H150" s="25" t="str">
        <f aca="false">IF(OR(C150="",G150&lt;&gt;"stranger"),"",IF(C150=B150,1,0))</f>
        <v/>
      </c>
      <c r="I150" s="25" t="str">
        <f aca="false">IF(G150&lt;&gt;"stranger","",IF(B150="A",IF(ISNUMBER(D150),D150,""),IF(B150="B",IF(ISNUMBER(E150),E150,""),"")))</f>
        <v/>
      </c>
      <c r="J150" s="25" t="str">
        <f aca="false">IF(G150&lt;&gt;"stranger","",IF(B150="A",IF(ISNUMBER(E150),E150,""),IF(B150="B",IF(ISNUMBER(D150),D150,""),"")))</f>
        <v/>
      </c>
      <c r="K150" s="25" t="str">
        <f aca="false">IF(OR(C150="",G150&lt;&gt;"friends &amp; family"),"",IF(C150=B150,1,0))</f>
        <v/>
      </c>
    </row>
    <row r="151" customFormat="false" ht="15" hidden="false" customHeight="true" outlineLevel="0" collapsed="false">
      <c r="A151" s="9"/>
      <c r="B151" s="9"/>
      <c r="C151" s="9"/>
      <c r="D151" s="9"/>
      <c r="E151" s="9"/>
      <c r="F151" s="9"/>
      <c r="G151" s="25" t="str">
        <f aca="false">IFERROR(INDEX(Participants!$T$6:$T$205,MATCH(A151,Participants!$A$6:$A$205,0)),"")</f>
        <v/>
      </c>
      <c r="H151" s="25" t="str">
        <f aca="false">IF(OR(C151="",G151&lt;&gt;"stranger"),"",IF(C151=B151,1,0))</f>
        <v/>
      </c>
      <c r="I151" s="25" t="str">
        <f aca="false">IF(G151&lt;&gt;"stranger","",IF(B151="A",IF(ISNUMBER(D151),D151,""),IF(B151="B",IF(ISNUMBER(E151),E151,""),"")))</f>
        <v/>
      </c>
      <c r="J151" s="25" t="str">
        <f aca="false">IF(G151&lt;&gt;"stranger","",IF(B151="A",IF(ISNUMBER(E151),E151,""),IF(B151="B",IF(ISNUMBER(D151),D151,""),"")))</f>
        <v/>
      </c>
      <c r="K151" s="25" t="str">
        <f aca="false">IF(OR(C151="",G151&lt;&gt;"friends &amp; family"),"",IF(C151=B151,1,0))</f>
        <v/>
      </c>
    </row>
    <row r="152" customFormat="false" ht="15" hidden="false" customHeight="true" outlineLevel="0" collapsed="false">
      <c r="A152" s="9"/>
      <c r="B152" s="9"/>
      <c r="C152" s="9"/>
      <c r="D152" s="9"/>
      <c r="E152" s="9"/>
      <c r="F152" s="9"/>
      <c r="G152" s="25" t="str">
        <f aca="false">IFERROR(INDEX(Participants!$T$6:$T$205,MATCH(A152,Participants!$A$6:$A$205,0)),"")</f>
        <v/>
      </c>
      <c r="H152" s="25" t="str">
        <f aca="false">IF(OR(C152="",G152&lt;&gt;"stranger"),"",IF(C152=B152,1,0))</f>
        <v/>
      </c>
      <c r="I152" s="25" t="str">
        <f aca="false">IF(G152&lt;&gt;"stranger","",IF(B152="A",IF(ISNUMBER(D152),D152,""),IF(B152="B",IF(ISNUMBER(E152),E152,""),"")))</f>
        <v/>
      </c>
      <c r="J152" s="25" t="str">
        <f aca="false">IF(G152&lt;&gt;"stranger","",IF(B152="A",IF(ISNUMBER(E152),E152,""),IF(B152="B",IF(ISNUMBER(D152),D152,""),"")))</f>
        <v/>
      </c>
      <c r="K152" s="25" t="str">
        <f aca="false">IF(OR(C152="",G152&lt;&gt;"friends &amp; family"),"",IF(C152=B152,1,0))</f>
        <v/>
      </c>
    </row>
    <row r="153" customFormat="false" ht="15" hidden="false" customHeight="true" outlineLevel="0" collapsed="false">
      <c r="A153" s="9"/>
      <c r="B153" s="9"/>
      <c r="C153" s="9"/>
      <c r="D153" s="9"/>
      <c r="E153" s="9"/>
      <c r="F153" s="9"/>
      <c r="G153" s="25" t="str">
        <f aca="false">IFERROR(INDEX(Participants!$T$6:$T$205,MATCH(A153,Participants!$A$6:$A$205,0)),"")</f>
        <v/>
      </c>
      <c r="H153" s="25" t="str">
        <f aca="false">IF(OR(C153="",G153&lt;&gt;"stranger"),"",IF(C153=B153,1,0))</f>
        <v/>
      </c>
      <c r="I153" s="25" t="str">
        <f aca="false">IF(G153&lt;&gt;"stranger","",IF(B153="A",IF(ISNUMBER(D153),D153,""),IF(B153="B",IF(ISNUMBER(E153),E153,""),"")))</f>
        <v/>
      </c>
      <c r="J153" s="25" t="str">
        <f aca="false">IF(G153&lt;&gt;"stranger","",IF(B153="A",IF(ISNUMBER(E153),E153,""),IF(B153="B",IF(ISNUMBER(D153),D153,""),"")))</f>
        <v/>
      </c>
      <c r="K153" s="25" t="str">
        <f aca="false">IF(OR(C153="",G153&lt;&gt;"friends &amp; family"),"",IF(C153=B153,1,0))</f>
        <v/>
      </c>
    </row>
    <row r="154" customFormat="false" ht="15" hidden="false" customHeight="true" outlineLevel="0" collapsed="false">
      <c r="A154" s="9"/>
      <c r="B154" s="9"/>
      <c r="C154" s="9"/>
      <c r="D154" s="9"/>
      <c r="E154" s="9"/>
      <c r="F154" s="9"/>
      <c r="G154" s="25" t="str">
        <f aca="false">IFERROR(INDEX(Participants!$T$6:$T$205,MATCH(A154,Participants!$A$6:$A$205,0)),"")</f>
        <v/>
      </c>
      <c r="H154" s="25" t="str">
        <f aca="false">IF(OR(C154="",G154&lt;&gt;"stranger"),"",IF(C154=B154,1,0))</f>
        <v/>
      </c>
      <c r="I154" s="25" t="str">
        <f aca="false">IF(G154&lt;&gt;"stranger","",IF(B154="A",IF(ISNUMBER(D154),D154,""),IF(B154="B",IF(ISNUMBER(E154),E154,""),"")))</f>
        <v/>
      </c>
      <c r="J154" s="25" t="str">
        <f aca="false">IF(G154&lt;&gt;"stranger","",IF(B154="A",IF(ISNUMBER(E154),E154,""),IF(B154="B",IF(ISNUMBER(D154),D154,""),"")))</f>
        <v/>
      </c>
      <c r="K154" s="25" t="str">
        <f aca="false">IF(OR(C154="",G154&lt;&gt;"friends &amp; family"),"",IF(C154=B154,1,0))</f>
        <v/>
      </c>
    </row>
    <row r="155" customFormat="false" ht="15" hidden="false" customHeight="true" outlineLevel="0" collapsed="false">
      <c r="A155" s="9"/>
      <c r="B155" s="9"/>
      <c r="C155" s="9"/>
      <c r="D155" s="9"/>
      <c r="E155" s="9"/>
      <c r="F155" s="9"/>
      <c r="G155" s="25" t="str">
        <f aca="false">IFERROR(INDEX(Participants!$T$6:$T$205,MATCH(A155,Participants!$A$6:$A$205,0)),"")</f>
        <v/>
      </c>
      <c r="H155" s="25" t="str">
        <f aca="false">IF(OR(C155="",G155&lt;&gt;"stranger"),"",IF(C155=B155,1,0))</f>
        <v/>
      </c>
      <c r="I155" s="25" t="str">
        <f aca="false">IF(G155&lt;&gt;"stranger","",IF(B155="A",IF(ISNUMBER(D155),D155,""),IF(B155="B",IF(ISNUMBER(E155),E155,""),"")))</f>
        <v/>
      </c>
      <c r="J155" s="25" t="str">
        <f aca="false">IF(G155&lt;&gt;"stranger","",IF(B155="A",IF(ISNUMBER(E155),E155,""),IF(B155="B",IF(ISNUMBER(D155),D155,""),"")))</f>
        <v/>
      </c>
      <c r="K155" s="25" t="str">
        <f aca="false">IF(OR(C155="",G155&lt;&gt;"friends &amp; family"),"",IF(C155=B155,1,0))</f>
        <v/>
      </c>
    </row>
    <row r="156" customFormat="false" ht="15" hidden="false" customHeight="true" outlineLevel="0" collapsed="false">
      <c r="A156" s="9"/>
      <c r="B156" s="9"/>
      <c r="C156" s="9"/>
      <c r="D156" s="9"/>
      <c r="E156" s="9"/>
      <c r="F156" s="9"/>
      <c r="G156" s="25" t="str">
        <f aca="false">IFERROR(INDEX(Participants!$T$6:$T$205,MATCH(A156,Participants!$A$6:$A$205,0)),"")</f>
        <v/>
      </c>
      <c r="H156" s="25" t="str">
        <f aca="false">IF(OR(C156="",G156&lt;&gt;"stranger"),"",IF(C156=B156,1,0))</f>
        <v/>
      </c>
      <c r="I156" s="25" t="str">
        <f aca="false">IF(G156&lt;&gt;"stranger","",IF(B156="A",IF(ISNUMBER(D156),D156,""),IF(B156="B",IF(ISNUMBER(E156),E156,""),"")))</f>
        <v/>
      </c>
      <c r="J156" s="25" t="str">
        <f aca="false">IF(G156&lt;&gt;"stranger","",IF(B156="A",IF(ISNUMBER(E156),E156,""),IF(B156="B",IF(ISNUMBER(D156),D156,""),"")))</f>
        <v/>
      </c>
      <c r="K156" s="25" t="str">
        <f aca="false">IF(OR(C156="",G156&lt;&gt;"friends &amp; family"),"",IF(C156=B156,1,0))</f>
        <v/>
      </c>
    </row>
    <row r="157" customFormat="false" ht="15" hidden="false" customHeight="true" outlineLevel="0" collapsed="false">
      <c r="A157" s="9"/>
      <c r="B157" s="9"/>
      <c r="C157" s="9"/>
      <c r="D157" s="9"/>
      <c r="E157" s="9"/>
      <c r="F157" s="9"/>
      <c r="G157" s="25" t="str">
        <f aca="false">IFERROR(INDEX(Participants!$T$6:$T$205,MATCH(A157,Participants!$A$6:$A$205,0)),"")</f>
        <v/>
      </c>
      <c r="H157" s="25" t="str">
        <f aca="false">IF(OR(C157="",G157&lt;&gt;"stranger"),"",IF(C157=B157,1,0))</f>
        <v/>
      </c>
      <c r="I157" s="25" t="str">
        <f aca="false">IF(G157&lt;&gt;"stranger","",IF(B157="A",IF(ISNUMBER(D157),D157,""),IF(B157="B",IF(ISNUMBER(E157),E157,""),"")))</f>
        <v/>
      </c>
      <c r="J157" s="25" t="str">
        <f aca="false">IF(G157&lt;&gt;"stranger","",IF(B157="A",IF(ISNUMBER(E157),E157,""),IF(B157="B",IF(ISNUMBER(D157),D157,""),"")))</f>
        <v/>
      </c>
      <c r="K157" s="25" t="str">
        <f aca="false">IF(OR(C157="",G157&lt;&gt;"friends &amp; family"),"",IF(C157=B157,1,0))</f>
        <v/>
      </c>
    </row>
    <row r="158" customFormat="false" ht="15" hidden="false" customHeight="true" outlineLevel="0" collapsed="false">
      <c r="A158" s="9"/>
      <c r="B158" s="9"/>
      <c r="C158" s="9"/>
      <c r="D158" s="9"/>
      <c r="E158" s="9"/>
      <c r="F158" s="9"/>
      <c r="G158" s="25" t="str">
        <f aca="false">IFERROR(INDEX(Participants!$T$6:$T$205,MATCH(A158,Participants!$A$6:$A$205,0)),"")</f>
        <v/>
      </c>
      <c r="H158" s="25" t="str">
        <f aca="false">IF(OR(C158="",G158&lt;&gt;"stranger"),"",IF(C158=B158,1,0))</f>
        <v/>
      </c>
      <c r="I158" s="25" t="str">
        <f aca="false">IF(G158&lt;&gt;"stranger","",IF(B158="A",IF(ISNUMBER(D158),D158,""),IF(B158="B",IF(ISNUMBER(E158),E158,""),"")))</f>
        <v/>
      </c>
      <c r="J158" s="25" t="str">
        <f aca="false">IF(G158&lt;&gt;"stranger","",IF(B158="A",IF(ISNUMBER(E158),E158,""),IF(B158="B",IF(ISNUMBER(D158),D158,""),"")))</f>
        <v/>
      </c>
      <c r="K158" s="25" t="str">
        <f aca="false">IF(OR(C158="",G158&lt;&gt;"friends &amp; family"),"",IF(C158=B158,1,0))</f>
        <v/>
      </c>
    </row>
    <row r="159" customFormat="false" ht="15" hidden="false" customHeight="true" outlineLevel="0" collapsed="false">
      <c r="A159" s="9"/>
      <c r="B159" s="9"/>
      <c r="C159" s="9"/>
      <c r="D159" s="9"/>
      <c r="E159" s="9"/>
      <c r="F159" s="9"/>
      <c r="G159" s="25" t="str">
        <f aca="false">IFERROR(INDEX(Participants!$T$6:$T$205,MATCH(A159,Participants!$A$6:$A$205,0)),"")</f>
        <v/>
      </c>
      <c r="H159" s="25" t="str">
        <f aca="false">IF(OR(C159="",G159&lt;&gt;"stranger"),"",IF(C159=B159,1,0))</f>
        <v/>
      </c>
      <c r="I159" s="25" t="str">
        <f aca="false">IF(G159&lt;&gt;"stranger","",IF(B159="A",IF(ISNUMBER(D159),D159,""),IF(B159="B",IF(ISNUMBER(E159),E159,""),"")))</f>
        <v/>
      </c>
      <c r="J159" s="25" t="str">
        <f aca="false">IF(G159&lt;&gt;"stranger","",IF(B159="A",IF(ISNUMBER(E159),E159,""),IF(B159="B",IF(ISNUMBER(D159),D159,""),"")))</f>
        <v/>
      </c>
      <c r="K159" s="25" t="str">
        <f aca="false">IF(OR(C159="",G159&lt;&gt;"friends &amp; family"),"",IF(C159=B159,1,0))</f>
        <v/>
      </c>
    </row>
    <row r="160" customFormat="false" ht="15" hidden="false" customHeight="true" outlineLevel="0" collapsed="false">
      <c r="A160" s="9"/>
      <c r="B160" s="9"/>
      <c r="C160" s="9"/>
      <c r="D160" s="9"/>
      <c r="E160" s="9"/>
      <c r="F160" s="9"/>
      <c r="G160" s="25" t="str">
        <f aca="false">IFERROR(INDEX(Participants!$T$6:$T$205,MATCH(A160,Participants!$A$6:$A$205,0)),"")</f>
        <v/>
      </c>
      <c r="H160" s="25" t="str">
        <f aca="false">IF(OR(C160="",G160&lt;&gt;"stranger"),"",IF(C160=B160,1,0))</f>
        <v/>
      </c>
      <c r="I160" s="25" t="str">
        <f aca="false">IF(G160&lt;&gt;"stranger","",IF(B160="A",IF(ISNUMBER(D160),D160,""),IF(B160="B",IF(ISNUMBER(E160),E160,""),"")))</f>
        <v/>
      </c>
      <c r="J160" s="25" t="str">
        <f aca="false">IF(G160&lt;&gt;"stranger","",IF(B160="A",IF(ISNUMBER(E160),E160,""),IF(B160="B",IF(ISNUMBER(D160),D160,""),"")))</f>
        <v/>
      </c>
      <c r="K160" s="25" t="str">
        <f aca="false">IF(OR(C160="",G160&lt;&gt;"friends &amp; family"),"",IF(C160=B160,1,0))</f>
        <v/>
      </c>
    </row>
    <row r="161" customFormat="false" ht="15" hidden="false" customHeight="true" outlineLevel="0" collapsed="false">
      <c r="A161" s="9"/>
      <c r="B161" s="9"/>
      <c r="C161" s="9"/>
      <c r="D161" s="9"/>
      <c r="E161" s="9"/>
      <c r="F161" s="9"/>
      <c r="G161" s="25" t="str">
        <f aca="false">IFERROR(INDEX(Participants!$T$6:$T$205,MATCH(A161,Participants!$A$6:$A$205,0)),"")</f>
        <v/>
      </c>
      <c r="H161" s="25" t="str">
        <f aca="false">IF(OR(C161="",G161&lt;&gt;"stranger"),"",IF(C161=B161,1,0))</f>
        <v/>
      </c>
      <c r="I161" s="25" t="str">
        <f aca="false">IF(G161&lt;&gt;"stranger","",IF(B161="A",IF(ISNUMBER(D161),D161,""),IF(B161="B",IF(ISNUMBER(E161),E161,""),"")))</f>
        <v/>
      </c>
      <c r="J161" s="25" t="str">
        <f aca="false">IF(G161&lt;&gt;"stranger","",IF(B161="A",IF(ISNUMBER(E161),E161,""),IF(B161="B",IF(ISNUMBER(D161),D161,""),"")))</f>
        <v/>
      </c>
      <c r="K161" s="25" t="str">
        <f aca="false">IF(OR(C161="",G161&lt;&gt;"friends &amp; family"),"",IF(C161=B161,1,0))</f>
        <v/>
      </c>
    </row>
    <row r="162" customFormat="false" ht="15" hidden="false" customHeight="true" outlineLevel="0" collapsed="false">
      <c r="A162" s="9"/>
      <c r="B162" s="9"/>
      <c r="C162" s="9"/>
      <c r="D162" s="9"/>
      <c r="E162" s="9"/>
      <c r="F162" s="9"/>
      <c r="G162" s="25" t="str">
        <f aca="false">IFERROR(INDEX(Participants!$T$6:$T$205,MATCH(A162,Participants!$A$6:$A$205,0)),"")</f>
        <v/>
      </c>
      <c r="H162" s="25" t="str">
        <f aca="false">IF(OR(C162="",G162&lt;&gt;"stranger"),"",IF(C162=B162,1,0))</f>
        <v/>
      </c>
      <c r="I162" s="25" t="str">
        <f aca="false">IF(G162&lt;&gt;"stranger","",IF(B162="A",IF(ISNUMBER(D162),D162,""),IF(B162="B",IF(ISNUMBER(E162),E162,""),"")))</f>
        <v/>
      </c>
      <c r="J162" s="25" t="str">
        <f aca="false">IF(G162&lt;&gt;"stranger","",IF(B162="A",IF(ISNUMBER(E162),E162,""),IF(B162="B",IF(ISNUMBER(D162),D162,""),"")))</f>
        <v/>
      </c>
      <c r="K162" s="25" t="str">
        <f aca="false">IF(OR(C162="",G162&lt;&gt;"friends &amp; family"),"",IF(C162=B162,1,0))</f>
        <v/>
      </c>
    </row>
    <row r="163" customFormat="false" ht="15" hidden="false" customHeight="true" outlineLevel="0" collapsed="false">
      <c r="A163" s="9"/>
      <c r="B163" s="9"/>
      <c r="C163" s="9"/>
      <c r="D163" s="9"/>
      <c r="E163" s="9"/>
      <c r="F163" s="9"/>
      <c r="G163" s="25" t="str">
        <f aca="false">IFERROR(INDEX(Participants!$T$6:$T$205,MATCH(A163,Participants!$A$6:$A$205,0)),"")</f>
        <v/>
      </c>
      <c r="H163" s="25" t="str">
        <f aca="false">IF(OR(C163="",G163&lt;&gt;"stranger"),"",IF(C163=B163,1,0))</f>
        <v/>
      </c>
      <c r="I163" s="25" t="str">
        <f aca="false">IF(G163&lt;&gt;"stranger","",IF(B163="A",IF(ISNUMBER(D163),D163,""),IF(B163="B",IF(ISNUMBER(E163),E163,""),"")))</f>
        <v/>
      </c>
      <c r="J163" s="25" t="str">
        <f aca="false">IF(G163&lt;&gt;"stranger","",IF(B163="A",IF(ISNUMBER(E163),E163,""),IF(B163="B",IF(ISNUMBER(D163),D163,""),"")))</f>
        <v/>
      </c>
      <c r="K163" s="25" t="str">
        <f aca="false">IF(OR(C163="",G163&lt;&gt;"friends &amp; family"),"",IF(C163=B163,1,0))</f>
        <v/>
      </c>
    </row>
    <row r="164" customFormat="false" ht="15" hidden="false" customHeight="true" outlineLevel="0" collapsed="false">
      <c r="A164" s="9"/>
      <c r="B164" s="9"/>
      <c r="C164" s="9"/>
      <c r="D164" s="9"/>
      <c r="E164" s="9"/>
      <c r="F164" s="9"/>
      <c r="G164" s="25" t="str">
        <f aca="false">IFERROR(INDEX(Participants!$T$6:$T$205,MATCH(A164,Participants!$A$6:$A$205,0)),"")</f>
        <v/>
      </c>
      <c r="H164" s="25" t="str">
        <f aca="false">IF(OR(C164="",G164&lt;&gt;"stranger"),"",IF(C164=B164,1,0))</f>
        <v/>
      </c>
      <c r="I164" s="25" t="str">
        <f aca="false">IF(G164&lt;&gt;"stranger","",IF(B164="A",IF(ISNUMBER(D164),D164,""),IF(B164="B",IF(ISNUMBER(E164),E164,""),"")))</f>
        <v/>
      </c>
      <c r="J164" s="25" t="str">
        <f aca="false">IF(G164&lt;&gt;"stranger","",IF(B164="A",IF(ISNUMBER(E164),E164,""),IF(B164="B",IF(ISNUMBER(D164),D164,""),"")))</f>
        <v/>
      </c>
      <c r="K164" s="25" t="str">
        <f aca="false">IF(OR(C164="",G164&lt;&gt;"friends &amp; family"),"",IF(C164=B164,1,0))</f>
        <v/>
      </c>
    </row>
    <row r="165" customFormat="false" ht="15" hidden="false" customHeight="true" outlineLevel="0" collapsed="false">
      <c r="A165" s="9"/>
      <c r="B165" s="9"/>
      <c r="C165" s="9"/>
      <c r="D165" s="9"/>
      <c r="E165" s="9"/>
      <c r="F165" s="9"/>
      <c r="G165" s="25" t="str">
        <f aca="false">IFERROR(INDEX(Participants!$T$6:$T$205,MATCH(A165,Participants!$A$6:$A$205,0)),"")</f>
        <v/>
      </c>
      <c r="H165" s="25" t="str">
        <f aca="false">IF(OR(C165="",G165&lt;&gt;"stranger"),"",IF(C165=B165,1,0))</f>
        <v/>
      </c>
      <c r="I165" s="25" t="str">
        <f aca="false">IF(G165&lt;&gt;"stranger","",IF(B165="A",IF(ISNUMBER(D165),D165,""),IF(B165="B",IF(ISNUMBER(E165),E165,""),"")))</f>
        <v/>
      </c>
      <c r="J165" s="25" t="str">
        <f aca="false">IF(G165&lt;&gt;"stranger","",IF(B165="A",IF(ISNUMBER(E165),E165,""),IF(B165="B",IF(ISNUMBER(D165),D165,""),"")))</f>
        <v/>
      </c>
      <c r="K165" s="25" t="str">
        <f aca="false">IF(OR(C165="",G165&lt;&gt;"friends &amp; family"),"",IF(C165=B165,1,0))</f>
        <v/>
      </c>
    </row>
    <row r="166" customFormat="false" ht="15" hidden="false" customHeight="true" outlineLevel="0" collapsed="false">
      <c r="A166" s="9"/>
      <c r="B166" s="9"/>
      <c r="C166" s="9"/>
      <c r="D166" s="9"/>
      <c r="E166" s="9"/>
      <c r="F166" s="9"/>
      <c r="G166" s="25" t="str">
        <f aca="false">IFERROR(INDEX(Participants!$T$6:$T$205,MATCH(A166,Participants!$A$6:$A$205,0)),"")</f>
        <v/>
      </c>
      <c r="H166" s="25" t="str">
        <f aca="false">IF(OR(C166="",G166&lt;&gt;"stranger"),"",IF(C166=B166,1,0))</f>
        <v/>
      </c>
      <c r="I166" s="25" t="str">
        <f aca="false">IF(G166&lt;&gt;"stranger","",IF(B166="A",IF(ISNUMBER(D166),D166,""),IF(B166="B",IF(ISNUMBER(E166),E166,""),"")))</f>
        <v/>
      </c>
      <c r="J166" s="25" t="str">
        <f aca="false">IF(G166&lt;&gt;"stranger","",IF(B166="A",IF(ISNUMBER(E166),E166,""),IF(B166="B",IF(ISNUMBER(D166),D166,""),"")))</f>
        <v/>
      </c>
      <c r="K166" s="25" t="str">
        <f aca="false">IF(OR(C166="",G166&lt;&gt;"friends &amp; family"),"",IF(C166=B166,1,0))</f>
        <v/>
      </c>
    </row>
    <row r="167" customFormat="false" ht="15" hidden="false" customHeight="true" outlineLevel="0" collapsed="false">
      <c r="A167" s="9"/>
      <c r="B167" s="9"/>
      <c r="C167" s="9"/>
      <c r="D167" s="9"/>
      <c r="E167" s="9"/>
      <c r="F167" s="9"/>
      <c r="G167" s="25" t="str">
        <f aca="false">IFERROR(INDEX(Participants!$T$6:$T$205,MATCH(A167,Participants!$A$6:$A$205,0)),"")</f>
        <v/>
      </c>
      <c r="H167" s="25" t="str">
        <f aca="false">IF(OR(C167="",G167&lt;&gt;"stranger"),"",IF(C167=B167,1,0))</f>
        <v/>
      </c>
      <c r="I167" s="25" t="str">
        <f aca="false">IF(G167&lt;&gt;"stranger","",IF(B167="A",IF(ISNUMBER(D167),D167,""),IF(B167="B",IF(ISNUMBER(E167),E167,""),"")))</f>
        <v/>
      </c>
      <c r="J167" s="25" t="str">
        <f aca="false">IF(G167&lt;&gt;"stranger","",IF(B167="A",IF(ISNUMBER(E167),E167,""),IF(B167="B",IF(ISNUMBER(D167),D167,""),"")))</f>
        <v/>
      </c>
      <c r="K167" s="25" t="str">
        <f aca="false">IF(OR(C167="",G167&lt;&gt;"friends &amp; family"),"",IF(C167=B167,1,0))</f>
        <v/>
      </c>
    </row>
    <row r="168" customFormat="false" ht="15" hidden="false" customHeight="true" outlineLevel="0" collapsed="false">
      <c r="A168" s="9"/>
      <c r="B168" s="9"/>
      <c r="C168" s="9"/>
      <c r="D168" s="9"/>
      <c r="E168" s="9"/>
      <c r="F168" s="9"/>
      <c r="G168" s="25" t="str">
        <f aca="false">IFERROR(INDEX(Participants!$T$6:$T$205,MATCH(A168,Participants!$A$6:$A$205,0)),"")</f>
        <v/>
      </c>
      <c r="H168" s="25" t="str">
        <f aca="false">IF(OR(C168="",G168&lt;&gt;"stranger"),"",IF(C168=B168,1,0))</f>
        <v/>
      </c>
      <c r="I168" s="25" t="str">
        <f aca="false">IF(G168&lt;&gt;"stranger","",IF(B168="A",IF(ISNUMBER(D168),D168,""),IF(B168="B",IF(ISNUMBER(E168),E168,""),"")))</f>
        <v/>
      </c>
      <c r="J168" s="25" t="str">
        <f aca="false">IF(G168&lt;&gt;"stranger","",IF(B168="A",IF(ISNUMBER(E168),E168,""),IF(B168="B",IF(ISNUMBER(D168),D168,""),"")))</f>
        <v/>
      </c>
      <c r="K168" s="25" t="str">
        <f aca="false">IF(OR(C168="",G168&lt;&gt;"friends &amp; family"),"",IF(C168=B168,1,0))</f>
        <v/>
      </c>
    </row>
    <row r="169" customFormat="false" ht="15" hidden="false" customHeight="true" outlineLevel="0" collapsed="false">
      <c r="A169" s="9"/>
      <c r="B169" s="9"/>
      <c r="C169" s="9"/>
      <c r="D169" s="9"/>
      <c r="E169" s="9"/>
      <c r="F169" s="9"/>
      <c r="G169" s="25" t="str">
        <f aca="false">IFERROR(INDEX(Participants!$T$6:$T$205,MATCH(A169,Participants!$A$6:$A$205,0)),"")</f>
        <v/>
      </c>
      <c r="H169" s="25" t="str">
        <f aca="false">IF(OR(C169="",G169&lt;&gt;"stranger"),"",IF(C169=B169,1,0))</f>
        <v/>
      </c>
      <c r="I169" s="25" t="str">
        <f aca="false">IF(G169&lt;&gt;"stranger","",IF(B169="A",IF(ISNUMBER(D169),D169,""),IF(B169="B",IF(ISNUMBER(E169),E169,""),"")))</f>
        <v/>
      </c>
      <c r="J169" s="25" t="str">
        <f aca="false">IF(G169&lt;&gt;"stranger","",IF(B169="A",IF(ISNUMBER(E169),E169,""),IF(B169="B",IF(ISNUMBER(D169),D169,""),"")))</f>
        <v/>
      </c>
      <c r="K169" s="25" t="str">
        <f aca="false">IF(OR(C169="",G169&lt;&gt;"friends &amp; family"),"",IF(C169=B169,1,0))</f>
        <v/>
      </c>
    </row>
    <row r="170" customFormat="false" ht="15" hidden="false" customHeight="true" outlineLevel="0" collapsed="false">
      <c r="A170" s="9"/>
      <c r="B170" s="9"/>
      <c r="C170" s="9"/>
      <c r="D170" s="9"/>
      <c r="E170" s="9"/>
      <c r="F170" s="9"/>
      <c r="G170" s="25" t="str">
        <f aca="false">IFERROR(INDEX(Participants!$T$6:$T$205,MATCH(A170,Participants!$A$6:$A$205,0)),"")</f>
        <v/>
      </c>
      <c r="H170" s="25" t="str">
        <f aca="false">IF(OR(C170="",G170&lt;&gt;"stranger"),"",IF(C170=B170,1,0))</f>
        <v/>
      </c>
      <c r="I170" s="25" t="str">
        <f aca="false">IF(G170&lt;&gt;"stranger","",IF(B170="A",IF(ISNUMBER(D170),D170,""),IF(B170="B",IF(ISNUMBER(E170),E170,""),"")))</f>
        <v/>
      </c>
      <c r="J170" s="25" t="str">
        <f aca="false">IF(G170&lt;&gt;"stranger","",IF(B170="A",IF(ISNUMBER(E170),E170,""),IF(B170="B",IF(ISNUMBER(D170),D170,""),"")))</f>
        <v/>
      </c>
      <c r="K170" s="25" t="str">
        <f aca="false">IF(OR(C170="",G170&lt;&gt;"friends &amp; family"),"",IF(C170=B170,1,0))</f>
        <v/>
      </c>
    </row>
    <row r="171" customFormat="false" ht="15" hidden="false" customHeight="true" outlineLevel="0" collapsed="false">
      <c r="A171" s="9"/>
      <c r="B171" s="9"/>
      <c r="C171" s="9"/>
      <c r="D171" s="9"/>
      <c r="E171" s="9"/>
      <c r="F171" s="9"/>
      <c r="G171" s="25" t="str">
        <f aca="false">IFERROR(INDEX(Participants!$T$6:$T$205,MATCH(A171,Participants!$A$6:$A$205,0)),"")</f>
        <v/>
      </c>
      <c r="H171" s="25" t="str">
        <f aca="false">IF(OR(C171="",G171&lt;&gt;"stranger"),"",IF(C171=B171,1,0))</f>
        <v/>
      </c>
      <c r="I171" s="25" t="str">
        <f aca="false">IF(G171&lt;&gt;"stranger","",IF(B171="A",IF(ISNUMBER(D171),D171,""),IF(B171="B",IF(ISNUMBER(E171),E171,""),"")))</f>
        <v/>
      </c>
      <c r="J171" s="25" t="str">
        <f aca="false">IF(G171&lt;&gt;"stranger","",IF(B171="A",IF(ISNUMBER(E171),E171,""),IF(B171="B",IF(ISNUMBER(D171),D171,""),"")))</f>
        <v/>
      </c>
      <c r="K171" s="25" t="str">
        <f aca="false">IF(OR(C171="",G171&lt;&gt;"friends &amp; family"),"",IF(C171=B171,1,0))</f>
        <v/>
      </c>
    </row>
    <row r="172" customFormat="false" ht="15" hidden="false" customHeight="true" outlineLevel="0" collapsed="false">
      <c r="A172" s="9"/>
      <c r="B172" s="9"/>
      <c r="C172" s="9"/>
      <c r="D172" s="9"/>
      <c r="E172" s="9"/>
      <c r="F172" s="9"/>
      <c r="G172" s="25" t="str">
        <f aca="false">IFERROR(INDEX(Participants!$T$6:$T$205,MATCH(A172,Participants!$A$6:$A$205,0)),"")</f>
        <v/>
      </c>
      <c r="H172" s="25" t="str">
        <f aca="false">IF(OR(C172="",G172&lt;&gt;"stranger"),"",IF(C172=B172,1,0))</f>
        <v/>
      </c>
      <c r="I172" s="25" t="str">
        <f aca="false">IF(G172&lt;&gt;"stranger","",IF(B172="A",IF(ISNUMBER(D172),D172,""),IF(B172="B",IF(ISNUMBER(E172),E172,""),"")))</f>
        <v/>
      </c>
      <c r="J172" s="25" t="str">
        <f aca="false">IF(G172&lt;&gt;"stranger","",IF(B172="A",IF(ISNUMBER(E172),E172,""),IF(B172="B",IF(ISNUMBER(D172),D172,""),"")))</f>
        <v/>
      </c>
      <c r="K172" s="25" t="str">
        <f aca="false">IF(OR(C172="",G172&lt;&gt;"friends &amp; family"),"",IF(C172=B172,1,0))</f>
        <v/>
      </c>
    </row>
    <row r="173" customFormat="false" ht="15" hidden="false" customHeight="true" outlineLevel="0" collapsed="false">
      <c r="A173" s="9"/>
      <c r="B173" s="9"/>
      <c r="C173" s="9"/>
      <c r="D173" s="9"/>
      <c r="E173" s="9"/>
      <c r="F173" s="9"/>
      <c r="G173" s="25" t="str">
        <f aca="false">IFERROR(INDEX(Participants!$T$6:$T$205,MATCH(A173,Participants!$A$6:$A$205,0)),"")</f>
        <v/>
      </c>
      <c r="H173" s="25" t="str">
        <f aca="false">IF(OR(C173="",G173&lt;&gt;"stranger"),"",IF(C173=B173,1,0))</f>
        <v/>
      </c>
      <c r="I173" s="25" t="str">
        <f aca="false">IF(G173&lt;&gt;"stranger","",IF(B173="A",IF(ISNUMBER(D173),D173,""),IF(B173="B",IF(ISNUMBER(E173),E173,""),"")))</f>
        <v/>
      </c>
      <c r="J173" s="25" t="str">
        <f aca="false">IF(G173&lt;&gt;"stranger","",IF(B173="A",IF(ISNUMBER(E173),E173,""),IF(B173="B",IF(ISNUMBER(D173),D173,""),"")))</f>
        <v/>
      </c>
      <c r="K173" s="25" t="str">
        <f aca="false">IF(OR(C173="",G173&lt;&gt;"friends &amp; family"),"",IF(C173=B173,1,0))</f>
        <v/>
      </c>
    </row>
    <row r="174" customFormat="false" ht="15" hidden="false" customHeight="true" outlineLevel="0" collapsed="false">
      <c r="A174" s="9"/>
      <c r="B174" s="9"/>
      <c r="C174" s="9"/>
      <c r="D174" s="9"/>
      <c r="E174" s="9"/>
      <c r="F174" s="9"/>
      <c r="G174" s="25" t="str">
        <f aca="false">IFERROR(INDEX(Participants!$T$6:$T$205,MATCH(A174,Participants!$A$6:$A$205,0)),"")</f>
        <v/>
      </c>
      <c r="H174" s="25" t="str">
        <f aca="false">IF(OR(C174="",G174&lt;&gt;"stranger"),"",IF(C174=B174,1,0))</f>
        <v/>
      </c>
      <c r="I174" s="25" t="str">
        <f aca="false">IF(G174&lt;&gt;"stranger","",IF(B174="A",IF(ISNUMBER(D174),D174,""),IF(B174="B",IF(ISNUMBER(E174),E174,""),"")))</f>
        <v/>
      </c>
      <c r="J174" s="25" t="str">
        <f aca="false">IF(G174&lt;&gt;"stranger","",IF(B174="A",IF(ISNUMBER(E174),E174,""),IF(B174="B",IF(ISNUMBER(D174),D174,""),"")))</f>
        <v/>
      </c>
      <c r="K174" s="25" t="str">
        <f aca="false">IF(OR(C174="",G174&lt;&gt;"friends &amp; family"),"",IF(C174=B174,1,0))</f>
        <v/>
      </c>
    </row>
    <row r="175" customFormat="false" ht="15" hidden="false" customHeight="true" outlineLevel="0" collapsed="false">
      <c r="A175" s="9"/>
      <c r="B175" s="9"/>
      <c r="C175" s="9"/>
      <c r="D175" s="9"/>
      <c r="E175" s="9"/>
      <c r="F175" s="9"/>
      <c r="G175" s="25" t="str">
        <f aca="false">IFERROR(INDEX(Participants!$T$6:$T$205,MATCH(A175,Participants!$A$6:$A$205,0)),"")</f>
        <v/>
      </c>
      <c r="H175" s="25" t="str">
        <f aca="false">IF(OR(C175="",G175&lt;&gt;"stranger"),"",IF(C175=B175,1,0))</f>
        <v/>
      </c>
      <c r="I175" s="25" t="str">
        <f aca="false">IF(G175&lt;&gt;"stranger","",IF(B175="A",IF(ISNUMBER(D175),D175,""),IF(B175="B",IF(ISNUMBER(E175),E175,""),"")))</f>
        <v/>
      </c>
      <c r="J175" s="25" t="str">
        <f aca="false">IF(G175&lt;&gt;"stranger","",IF(B175="A",IF(ISNUMBER(E175),E175,""),IF(B175="B",IF(ISNUMBER(D175),D175,""),"")))</f>
        <v/>
      </c>
      <c r="K175" s="25" t="str">
        <f aca="false">IF(OR(C175="",G175&lt;&gt;"friends &amp; family"),"",IF(C175=B175,1,0))</f>
        <v/>
      </c>
    </row>
    <row r="176" customFormat="false" ht="15" hidden="false" customHeight="true" outlineLevel="0" collapsed="false">
      <c r="A176" s="9"/>
      <c r="B176" s="9"/>
      <c r="C176" s="9"/>
      <c r="D176" s="9"/>
      <c r="E176" s="9"/>
      <c r="F176" s="9"/>
      <c r="G176" s="25" t="str">
        <f aca="false">IFERROR(INDEX(Participants!$T$6:$T$205,MATCH(A176,Participants!$A$6:$A$205,0)),"")</f>
        <v/>
      </c>
      <c r="H176" s="25" t="str">
        <f aca="false">IF(OR(C176="",G176&lt;&gt;"stranger"),"",IF(C176=B176,1,0))</f>
        <v/>
      </c>
      <c r="I176" s="25" t="str">
        <f aca="false">IF(G176&lt;&gt;"stranger","",IF(B176="A",IF(ISNUMBER(D176),D176,""),IF(B176="B",IF(ISNUMBER(E176),E176,""),"")))</f>
        <v/>
      </c>
      <c r="J176" s="25" t="str">
        <f aca="false">IF(G176&lt;&gt;"stranger","",IF(B176="A",IF(ISNUMBER(E176),E176,""),IF(B176="B",IF(ISNUMBER(D176),D176,""),"")))</f>
        <v/>
      </c>
      <c r="K176" s="25" t="str">
        <f aca="false">IF(OR(C176="",G176&lt;&gt;"friends &amp; family"),"",IF(C176=B176,1,0))</f>
        <v/>
      </c>
    </row>
    <row r="177" customFormat="false" ht="15" hidden="false" customHeight="true" outlineLevel="0" collapsed="false">
      <c r="A177" s="9"/>
      <c r="B177" s="9"/>
      <c r="C177" s="9"/>
      <c r="D177" s="9"/>
      <c r="E177" s="9"/>
      <c r="F177" s="9"/>
      <c r="G177" s="25" t="str">
        <f aca="false">IFERROR(INDEX(Participants!$T$6:$T$205,MATCH(A177,Participants!$A$6:$A$205,0)),"")</f>
        <v/>
      </c>
      <c r="H177" s="25" t="str">
        <f aca="false">IF(OR(C177="",G177&lt;&gt;"stranger"),"",IF(C177=B177,1,0))</f>
        <v/>
      </c>
      <c r="I177" s="25" t="str">
        <f aca="false">IF(G177&lt;&gt;"stranger","",IF(B177="A",IF(ISNUMBER(D177),D177,""),IF(B177="B",IF(ISNUMBER(E177),E177,""),"")))</f>
        <v/>
      </c>
      <c r="J177" s="25" t="str">
        <f aca="false">IF(G177&lt;&gt;"stranger","",IF(B177="A",IF(ISNUMBER(E177),E177,""),IF(B177="B",IF(ISNUMBER(D177),D177,""),"")))</f>
        <v/>
      </c>
      <c r="K177" s="25" t="str">
        <f aca="false">IF(OR(C177="",G177&lt;&gt;"friends &amp; family"),"",IF(C177=B177,1,0))</f>
        <v/>
      </c>
    </row>
    <row r="178" customFormat="false" ht="15" hidden="false" customHeight="true" outlineLevel="0" collapsed="false">
      <c r="A178" s="9"/>
      <c r="B178" s="9"/>
      <c r="C178" s="9"/>
      <c r="D178" s="9"/>
      <c r="E178" s="9"/>
      <c r="F178" s="9"/>
      <c r="G178" s="25" t="str">
        <f aca="false">IFERROR(INDEX(Participants!$T$6:$T$205,MATCH(A178,Participants!$A$6:$A$205,0)),"")</f>
        <v/>
      </c>
      <c r="H178" s="25" t="str">
        <f aca="false">IF(OR(C178="",G178&lt;&gt;"stranger"),"",IF(C178=B178,1,0))</f>
        <v/>
      </c>
      <c r="I178" s="25" t="str">
        <f aca="false">IF(G178&lt;&gt;"stranger","",IF(B178="A",IF(ISNUMBER(D178),D178,""),IF(B178="B",IF(ISNUMBER(E178),E178,""),"")))</f>
        <v/>
      </c>
      <c r="J178" s="25" t="str">
        <f aca="false">IF(G178&lt;&gt;"stranger","",IF(B178="A",IF(ISNUMBER(E178),E178,""),IF(B178="B",IF(ISNUMBER(D178),D178,""),"")))</f>
        <v/>
      </c>
      <c r="K178" s="25" t="str">
        <f aca="false">IF(OR(C178="",G178&lt;&gt;"friends &amp; family"),"",IF(C178=B178,1,0))</f>
        <v/>
      </c>
    </row>
    <row r="179" customFormat="false" ht="15" hidden="false" customHeight="true" outlineLevel="0" collapsed="false">
      <c r="A179" s="9"/>
      <c r="B179" s="9"/>
      <c r="C179" s="9"/>
      <c r="D179" s="9"/>
      <c r="E179" s="9"/>
      <c r="F179" s="9"/>
      <c r="G179" s="25" t="str">
        <f aca="false">IFERROR(INDEX(Participants!$T$6:$T$205,MATCH(A179,Participants!$A$6:$A$205,0)),"")</f>
        <v/>
      </c>
      <c r="H179" s="25" t="str">
        <f aca="false">IF(OR(C179="",G179&lt;&gt;"stranger"),"",IF(C179=B179,1,0))</f>
        <v/>
      </c>
      <c r="I179" s="25" t="str">
        <f aca="false">IF(G179&lt;&gt;"stranger","",IF(B179="A",IF(ISNUMBER(D179),D179,""),IF(B179="B",IF(ISNUMBER(E179),E179,""),"")))</f>
        <v/>
      </c>
      <c r="J179" s="25" t="str">
        <f aca="false">IF(G179&lt;&gt;"stranger","",IF(B179="A",IF(ISNUMBER(E179),E179,""),IF(B179="B",IF(ISNUMBER(D179),D179,""),"")))</f>
        <v/>
      </c>
      <c r="K179" s="25" t="str">
        <f aca="false">IF(OR(C179="",G179&lt;&gt;"friends &amp; family"),"",IF(C179=B179,1,0))</f>
        <v/>
      </c>
    </row>
    <row r="180" customFormat="false" ht="15" hidden="false" customHeight="true" outlineLevel="0" collapsed="false">
      <c r="A180" s="9"/>
      <c r="B180" s="9"/>
      <c r="C180" s="9"/>
      <c r="D180" s="9"/>
      <c r="E180" s="9"/>
      <c r="F180" s="9"/>
      <c r="G180" s="25" t="str">
        <f aca="false">IFERROR(INDEX(Participants!$T$6:$T$205,MATCH(A180,Participants!$A$6:$A$205,0)),"")</f>
        <v/>
      </c>
      <c r="H180" s="25" t="str">
        <f aca="false">IF(OR(C180="",G180&lt;&gt;"stranger"),"",IF(C180=B180,1,0))</f>
        <v/>
      </c>
      <c r="I180" s="25" t="str">
        <f aca="false">IF(G180&lt;&gt;"stranger","",IF(B180="A",IF(ISNUMBER(D180),D180,""),IF(B180="B",IF(ISNUMBER(E180),E180,""),"")))</f>
        <v/>
      </c>
      <c r="J180" s="25" t="str">
        <f aca="false">IF(G180&lt;&gt;"stranger","",IF(B180="A",IF(ISNUMBER(E180),E180,""),IF(B180="B",IF(ISNUMBER(D180),D180,""),"")))</f>
        <v/>
      </c>
      <c r="K180" s="25" t="str">
        <f aca="false">IF(OR(C180="",G180&lt;&gt;"friends &amp; family"),"",IF(C180=B180,1,0))</f>
        <v/>
      </c>
    </row>
    <row r="181" customFormat="false" ht="15" hidden="false" customHeight="true" outlineLevel="0" collapsed="false">
      <c r="A181" s="9"/>
      <c r="B181" s="9"/>
      <c r="C181" s="9"/>
      <c r="D181" s="9"/>
      <c r="E181" s="9"/>
      <c r="F181" s="9"/>
      <c r="G181" s="25" t="str">
        <f aca="false">IFERROR(INDEX(Participants!$T$6:$T$205,MATCH(A181,Participants!$A$6:$A$205,0)),"")</f>
        <v/>
      </c>
      <c r="H181" s="25" t="str">
        <f aca="false">IF(OR(C181="",G181&lt;&gt;"stranger"),"",IF(C181=B181,1,0))</f>
        <v/>
      </c>
      <c r="I181" s="25" t="str">
        <f aca="false">IF(G181&lt;&gt;"stranger","",IF(B181="A",IF(ISNUMBER(D181),D181,""),IF(B181="B",IF(ISNUMBER(E181),E181,""),"")))</f>
        <v/>
      </c>
      <c r="J181" s="25" t="str">
        <f aca="false">IF(G181&lt;&gt;"stranger","",IF(B181="A",IF(ISNUMBER(E181),E181,""),IF(B181="B",IF(ISNUMBER(D181),D181,""),"")))</f>
        <v/>
      </c>
      <c r="K181" s="25" t="str">
        <f aca="false">IF(OR(C181="",G181&lt;&gt;"friends &amp; family"),"",IF(C181=B181,1,0))</f>
        <v/>
      </c>
    </row>
    <row r="182" customFormat="false" ht="15" hidden="false" customHeight="true" outlineLevel="0" collapsed="false">
      <c r="A182" s="9"/>
      <c r="B182" s="9"/>
      <c r="C182" s="9"/>
      <c r="D182" s="9"/>
      <c r="E182" s="9"/>
      <c r="F182" s="9"/>
      <c r="G182" s="25" t="str">
        <f aca="false">IFERROR(INDEX(Participants!$T$6:$T$205,MATCH(A182,Participants!$A$6:$A$205,0)),"")</f>
        <v/>
      </c>
      <c r="H182" s="25" t="str">
        <f aca="false">IF(OR(C182="",G182&lt;&gt;"stranger"),"",IF(C182=B182,1,0))</f>
        <v/>
      </c>
      <c r="I182" s="25" t="str">
        <f aca="false">IF(G182&lt;&gt;"stranger","",IF(B182="A",IF(ISNUMBER(D182),D182,""),IF(B182="B",IF(ISNUMBER(E182),E182,""),"")))</f>
        <v/>
      </c>
      <c r="J182" s="25" t="str">
        <f aca="false">IF(G182&lt;&gt;"stranger","",IF(B182="A",IF(ISNUMBER(E182),E182,""),IF(B182="B",IF(ISNUMBER(D182),D182,""),"")))</f>
        <v/>
      </c>
      <c r="K182" s="25" t="str">
        <f aca="false">IF(OR(C182="",G182&lt;&gt;"friends &amp; family"),"",IF(C182=B182,1,0))</f>
        <v/>
      </c>
    </row>
    <row r="183" customFormat="false" ht="15" hidden="false" customHeight="true" outlineLevel="0" collapsed="false">
      <c r="A183" s="9"/>
      <c r="B183" s="9"/>
      <c r="C183" s="9"/>
      <c r="D183" s="9"/>
      <c r="E183" s="9"/>
      <c r="F183" s="9"/>
      <c r="G183" s="25" t="str">
        <f aca="false">IFERROR(INDEX(Participants!$T$6:$T$205,MATCH(A183,Participants!$A$6:$A$205,0)),"")</f>
        <v/>
      </c>
      <c r="H183" s="25" t="str">
        <f aca="false">IF(OR(C183="",G183&lt;&gt;"stranger"),"",IF(C183=B183,1,0))</f>
        <v/>
      </c>
      <c r="I183" s="25" t="str">
        <f aca="false">IF(G183&lt;&gt;"stranger","",IF(B183="A",IF(ISNUMBER(D183),D183,""),IF(B183="B",IF(ISNUMBER(E183),E183,""),"")))</f>
        <v/>
      </c>
      <c r="J183" s="25" t="str">
        <f aca="false">IF(G183&lt;&gt;"stranger","",IF(B183="A",IF(ISNUMBER(E183),E183,""),IF(B183="B",IF(ISNUMBER(D183),D183,""),"")))</f>
        <v/>
      </c>
      <c r="K183" s="25" t="str">
        <f aca="false">IF(OR(C183="",G183&lt;&gt;"friends &amp; family"),"",IF(C183=B183,1,0))</f>
        <v/>
      </c>
    </row>
    <row r="184" customFormat="false" ht="15" hidden="false" customHeight="true" outlineLevel="0" collapsed="false">
      <c r="A184" s="9"/>
      <c r="B184" s="9"/>
      <c r="C184" s="9"/>
      <c r="D184" s="9"/>
      <c r="E184" s="9"/>
      <c r="F184" s="9"/>
      <c r="G184" s="25" t="str">
        <f aca="false">IFERROR(INDEX(Participants!$T$6:$T$205,MATCH(A184,Participants!$A$6:$A$205,0)),"")</f>
        <v/>
      </c>
      <c r="H184" s="25" t="str">
        <f aca="false">IF(OR(C184="",G184&lt;&gt;"stranger"),"",IF(C184=B184,1,0))</f>
        <v/>
      </c>
      <c r="I184" s="25" t="str">
        <f aca="false">IF(G184&lt;&gt;"stranger","",IF(B184="A",IF(ISNUMBER(D184),D184,""),IF(B184="B",IF(ISNUMBER(E184),E184,""),"")))</f>
        <v/>
      </c>
      <c r="J184" s="25" t="str">
        <f aca="false">IF(G184&lt;&gt;"stranger","",IF(B184="A",IF(ISNUMBER(E184),E184,""),IF(B184="B",IF(ISNUMBER(D184),D184,""),"")))</f>
        <v/>
      </c>
      <c r="K184" s="25" t="str">
        <f aca="false">IF(OR(C184="",G184&lt;&gt;"friends &amp; family"),"",IF(C184=B184,1,0))</f>
        <v/>
      </c>
    </row>
    <row r="185" customFormat="false" ht="15" hidden="false" customHeight="true" outlineLevel="0" collapsed="false">
      <c r="A185" s="9"/>
      <c r="B185" s="9"/>
      <c r="C185" s="9"/>
      <c r="D185" s="9"/>
      <c r="E185" s="9"/>
      <c r="F185" s="9"/>
      <c r="G185" s="25" t="str">
        <f aca="false">IFERROR(INDEX(Participants!$T$6:$T$205,MATCH(A185,Participants!$A$6:$A$205,0)),"")</f>
        <v/>
      </c>
      <c r="H185" s="25" t="str">
        <f aca="false">IF(OR(C185="",G185&lt;&gt;"stranger"),"",IF(C185=B185,1,0))</f>
        <v/>
      </c>
      <c r="I185" s="25" t="str">
        <f aca="false">IF(G185&lt;&gt;"stranger","",IF(B185="A",IF(ISNUMBER(D185),D185,""),IF(B185="B",IF(ISNUMBER(E185),E185,""),"")))</f>
        <v/>
      </c>
      <c r="J185" s="25" t="str">
        <f aca="false">IF(G185&lt;&gt;"stranger","",IF(B185="A",IF(ISNUMBER(E185),E185,""),IF(B185="B",IF(ISNUMBER(D185),D185,""),"")))</f>
        <v/>
      </c>
      <c r="K185" s="25" t="str">
        <f aca="false">IF(OR(C185="",G185&lt;&gt;"friends &amp; family"),"",IF(C185=B185,1,0))</f>
        <v/>
      </c>
    </row>
    <row r="186" customFormat="false" ht="15" hidden="false" customHeight="true" outlineLevel="0" collapsed="false">
      <c r="A186" s="9"/>
      <c r="B186" s="9"/>
      <c r="C186" s="9"/>
      <c r="D186" s="9"/>
      <c r="E186" s="9"/>
      <c r="F186" s="9"/>
      <c r="G186" s="25" t="str">
        <f aca="false">IFERROR(INDEX(Participants!$T$6:$T$205,MATCH(A186,Participants!$A$6:$A$205,0)),"")</f>
        <v/>
      </c>
      <c r="H186" s="25" t="str">
        <f aca="false">IF(OR(C186="",G186&lt;&gt;"stranger"),"",IF(C186=B186,1,0))</f>
        <v/>
      </c>
      <c r="I186" s="25" t="str">
        <f aca="false">IF(G186&lt;&gt;"stranger","",IF(B186="A",IF(ISNUMBER(D186),D186,""),IF(B186="B",IF(ISNUMBER(E186),E186,""),"")))</f>
        <v/>
      </c>
      <c r="J186" s="25" t="str">
        <f aca="false">IF(G186&lt;&gt;"stranger","",IF(B186="A",IF(ISNUMBER(E186),E186,""),IF(B186="B",IF(ISNUMBER(D186),D186,""),"")))</f>
        <v/>
      </c>
      <c r="K186" s="25" t="str">
        <f aca="false">IF(OR(C186="",G186&lt;&gt;"friends &amp; family"),"",IF(C186=B186,1,0))</f>
        <v/>
      </c>
    </row>
    <row r="187" customFormat="false" ht="15" hidden="false" customHeight="true" outlineLevel="0" collapsed="false">
      <c r="A187" s="9"/>
      <c r="B187" s="9"/>
      <c r="C187" s="9"/>
      <c r="D187" s="9"/>
      <c r="E187" s="9"/>
      <c r="F187" s="9"/>
      <c r="G187" s="25" t="str">
        <f aca="false">IFERROR(INDEX(Participants!$T$6:$T$205,MATCH(A187,Participants!$A$6:$A$205,0)),"")</f>
        <v/>
      </c>
      <c r="H187" s="25" t="str">
        <f aca="false">IF(OR(C187="",G187&lt;&gt;"stranger"),"",IF(C187=B187,1,0))</f>
        <v/>
      </c>
      <c r="I187" s="25" t="str">
        <f aca="false">IF(G187&lt;&gt;"stranger","",IF(B187="A",IF(ISNUMBER(D187),D187,""),IF(B187="B",IF(ISNUMBER(E187),E187,""),"")))</f>
        <v/>
      </c>
      <c r="J187" s="25" t="str">
        <f aca="false">IF(G187&lt;&gt;"stranger","",IF(B187="A",IF(ISNUMBER(E187),E187,""),IF(B187="B",IF(ISNUMBER(D187),D187,""),"")))</f>
        <v/>
      </c>
      <c r="K187" s="25" t="str">
        <f aca="false">IF(OR(C187="",G187&lt;&gt;"friends &amp; family"),"",IF(C187=B187,1,0))</f>
        <v/>
      </c>
    </row>
    <row r="188" customFormat="false" ht="15" hidden="false" customHeight="true" outlineLevel="0" collapsed="false">
      <c r="A188" s="9"/>
      <c r="B188" s="9"/>
      <c r="C188" s="9"/>
      <c r="D188" s="9"/>
      <c r="E188" s="9"/>
      <c r="F188" s="9"/>
      <c r="G188" s="25" t="str">
        <f aca="false">IFERROR(INDEX(Participants!$T$6:$T$205,MATCH(A188,Participants!$A$6:$A$205,0)),"")</f>
        <v/>
      </c>
      <c r="H188" s="25" t="str">
        <f aca="false">IF(OR(C188="",G188&lt;&gt;"stranger"),"",IF(C188=B188,1,0))</f>
        <v/>
      </c>
      <c r="I188" s="25" t="str">
        <f aca="false">IF(G188&lt;&gt;"stranger","",IF(B188="A",IF(ISNUMBER(D188),D188,""),IF(B188="B",IF(ISNUMBER(E188),E188,""),"")))</f>
        <v/>
      </c>
      <c r="J188" s="25" t="str">
        <f aca="false">IF(G188&lt;&gt;"stranger","",IF(B188="A",IF(ISNUMBER(E188),E188,""),IF(B188="B",IF(ISNUMBER(D188),D188,""),"")))</f>
        <v/>
      </c>
      <c r="K188" s="25" t="str">
        <f aca="false">IF(OR(C188="",G188&lt;&gt;"friends &amp; family"),"",IF(C188=B188,1,0))</f>
        <v/>
      </c>
    </row>
    <row r="189" customFormat="false" ht="15" hidden="false" customHeight="true" outlineLevel="0" collapsed="false">
      <c r="A189" s="9"/>
      <c r="B189" s="9"/>
      <c r="C189" s="9"/>
      <c r="D189" s="9"/>
      <c r="E189" s="9"/>
      <c r="F189" s="9"/>
      <c r="G189" s="25" t="str">
        <f aca="false">IFERROR(INDEX(Participants!$T$6:$T$205,MATCH(A189,Participants!$A$6:$A$205,0)),"")</f>
        <v/>
      </c>
      <c r="H189" s="25" t="str">
        <f aca="false">IF(OR(C189="",G189&lt;&gt;"stranger"),"",IF(C189=B189,1,0))</f>
        <v/>
      </c>
      <c r="I189" s="25" t="str">
        <f aca="false">IF(G189&lt;&gt;"stranger","",IF(B189="A",IF(ISNUMBER(D189),D189,""),IF(B189="B",IF(ISNUMBER(E189),E189,""),"")))</f>
        <v/>
      </c>
      <c r="J189" s="25" t="str">
        <f aca="false">IF(G189&lt;&gt;"stranger","",IF(B189="A",IF(ISNUMBER(E189),E189,""),IF(B189="B",IF(ISNUMBER(D189),D189,""),"")))</f>
        <v/>
      </c>
      <c r="K189" s="25" t="str">
        <f aca="false">IF(OR(C189="",G189&lt;&gt;"friends &amp; family"),"",IF(C189=B189,1,0))</f>
        <v/>
      </c>
    </row>
    <row r="190" customFormat="false" ht="15" hidden="false" customHeight="true" outlineLevel="0" collapsed="false">
      <c r="A190" s="9"/>
      <c r="B190" s="9"/>
      <c r="C190" s="9"/>
      <c r="D190" s="9"/>
      <c r="E190" s="9"/>
      <c r="F190" s="9"/>
      <c r="G190" s="25" t="str">
        <f aca="false">IFERROR(INDEX(Participants!$T$6:$T$205,MATCH(A190,Participants!$A$6:$A$205,0)),"")</f>
        <v/>
      </c>
      <c r="H190" s="25" t="str">
        <f aca="false">IF(OR(C190="",G190&lt;&gt;"stranger"),"",IF(C190=B190,1,0))</f>
        <v/>
      </c>
      <c r="I190" s="25" t="str">
        <f aca="false">IF(G190&lt;&gt;"stranger","",IF(B190="A",IF(ISNUMBER(D190),D190,""),IF(B190="B",IF(ISNUMBER(E190),E190,""),"")))</f>
        <v/>
      </c>
      <c r="J190" s="25" t="str">
        <f aca="false">IF(G190&lt;&gt;"stranger","",IF(B190="A",IF(ISNUMBER(E190),E190,""),IF(B190="B",IF(ISNUMBER(D190),D190,""),"")))</f>
        <v/>
      </c>
      <c r="K190" s="25" t="str">
        <f aca="false">IF(OR(C190="",G190&lt;&gt;"friends &amp; family"),"",IF(C190=B190,1,0))</f>
        <v/>
      </c>
    </row>
    <row r="191" customFormat="false" ht="15" hidden="false" customHeight="true" outlineLevel="0" collapsed="false">
      <c r="A191" s="9"/>
      <c r="B191" s="9"/>
      <c r="C191" s="9"/>
      <c r="D191" s="9"/>
      <c r="E191" s="9"/>
      <c r="F191" s="9"/>
      <c r="G191" s="25" t="str">
        <f aca="false">IFERROR(INDEX(Participants!$T$6:$T$205,MATCH(A191,Participants!$A$6:$A$205,0)),"")</f>
        <v/>
      </c>
      <c r="H191" s="25" t="str">
        <f aca="false">IF(OR(C191="",G191&lt;&gt;"stranger"),"",IF(C191=B191,1,0))</f>
        <v/>
      </c>
      <c r="I191" s="25" t="str">
        <f aca="false">IF(G191&lt;&gt;"stranger","",IF(B191="A",IF(ISNUMBER(D191),D191,""),IF(B191="B",IF(ISNUMBER(E191),E191,""),"")))</f>
        <v/>
      </c>
      <c r="J191" s="25" t="str">
        <f aca="false">IF(G191&lt;&gt;"stranger","",IF(B191="A",IF(ISNUMBER(E191),E191,""),IF(B191="B",IF(ISNUMBER(D191),D191,""),"")))</f>
        <v/>
      </c>
      <c r="K191" s="25" t="str">
        <f aca="false">IF(OR(C191="",G191&lt;&gt;"friends &amp; family"),"",IF(C191=B191,1,0))</f>
        <v/>
      </c>
    </row>
    <row r="192" customFormat="false" ht="15" hidden="false" customHeight="true" outlineLevel="0" collapsed="false">
      <c r="A192" s="9"/>
      <c r="B192" s="9"/>
      <c r="C192" s="9"/>
      <c r="D192" s="9"/>
      <c r="E192" s="9"/>
      <c r="F192" s="9"/>
      <c r="G192" s="25" t="str">
        <f aca="false">IFERROR(INDEX(Participants!$T$6:$T$205,MATCH(A192,Participants!$A$6:$A$205,0)),"")</f>
        <v/>
      </c>
      <c r="H192" s="25" t="str">
        <f aca="false">IF(OR(C192="",G192&lt;&gt;"stranger"),"",IF(C192=B192,1,0))</f>
        <v/>
      </c>
      <c r="I192" s="25" t="str">
        <f aca="false">IF(G192&lt;&gt;"stranger","",IF(B192="A",IF(ISNUMBER(D192),D192,""),IF(B192="B",IF(ISNUMBER(E192),E192,""),"")))</f>
        <v/>
      </c>
      <c r="J192" s="25" t="str">
        <f aca="false">IF(G192&lt;&gt;"stranger","",IF(B192="A",IF(ISNUMBER(E192),E192,""),IF(B192="B",IF(ISNUMBER(D192),D192,""),"")))</f>
        <v/>
      </c>
      <c r="K192" s="25" t="str">
        <f aca="false">IF(OR(C192="",G192&lt;&gt;"friends &amp; family"),"",IF(C192=B192,1,0))</f>
        <v/>
      </c>
    </row>
    <row r="193" customFormat="false" ht="15" hidden="false" customHeight="true" outlineLevel="0" collapsed="false">
      <c r="A193" s="9"/>
      <c r="B193" s="9"/>
      <c r="C193" s="9"/>
      <c r="D193" s="9"/>
      <c r="E193" s="9"/>
      <c r="F193" s="9"/>
      <c r="G193" s="25" t="str">
        <f aca="false">IFERROR(INDEX(Participants!$T$6:$T$205,MATCH(A193,Participants!$A$6:$A$205,0)),"")</f>
        <v/>
      </c>
      <c r="H193" s="25" t="str">
        <f aca="false">IF(OR(C193="",G193&lt;&gt;"stranger"),"",IF(C193=B193,1,0))</f>
        <v/>
      </c>
      <c r="I193" s="25" t="str">
        <f aca="false">IF(G193&lt;&gt;"stranger","",IF(B193="A",IF(ISNUMBER(D193),D193,""),IF(B193="B",IF(ISNUMBER(E193),E193,""),"")))</f>
        <v/>
      </c>
      <c r="J193" s="25" t="str">
        <f aca="false">IF(G193&lt;&gt;"stranger","",IF(B193="A",IF(ISNUMBER(E193),E193,""),IF(B193="B",IF(ISNUMBER(D193),D193,""),"")))</f>
        <v/>
      </c>
      <c r="K193" s="25" t="str">
        <f aca="false">IF(OR(C193="",G193&lt;&gt;"friends &amp; family"),"",IF(C193=B193,1,0))</f>
        <v/>
      </c>
    </row>
    <row r="194" customFormat="false" ht="15" hidden="false" customHeight="true" outlineLevel="0" collapsed="false">
      <c r="A194" s="9"/>
      <c r="B194" s="9"/>
      <c r="C194" s="9"/>
      <c r="D194" s="9"/>
      <c r="E194" s="9"/>
      <c r="F194" s="9"/>
      <c r="G194" s="25" t="str">
        <f aca="false">IFERROR(INDEX(Participants!$T$6:$T$205,MATCH(A194,Participants!$A$6:$A$205,0)),"")</f>
        <v/>
      </c>
      <c r="H194" s="25" t="str">
        <f aca="false">IF(OR(C194="",G194&lt;&gt;"stranger"),"",IF(C194=B194,1,0))</f>
        <v/>
      </c>
      <c r="I194" s="25" t="str">
        <f aca="false">IF(G194&lt;&gt;"stranger","",IF(B194="A",IF(ISNUMBER(D194),D194,""),IF(B194="B",IF(ISNUMBER(E194),E194,""),"")))</f>
        <v/>
      </c>
      <c r="J194" s="25" t="str">
        <f aca="false">IF(G194&lt;&gt;"stranger","",IF(B194="A",IF(ISNUMBER(E194),E194,""),IF(B194="B",IF(ISNUMBER(D194),D194,""),"")))</f>
        <v/>
      </c>
      <c r="K194" s="25" t="str">
        <f aca="false">IF(OR(C194="",G194&lt;&gt;"friends &amp; family"),"",IF(C194=B194,1,0))</f>
        <v/>
      </c>
    </row>
    <row r="195" customFormat="false" ht="15" hidden="false" customHeight="true" outlineLevel="0" collapsed="false">
      <c r="A195" s="9"/>
      <c r="B195" s="9"/>
      <c r="C195" s="9"/>
      <c r="D195" s="9"/>
      <c r="E195" s="9"/>
      <c r="F195" s="9"/>
      <c r="G195" s="25" t="str">
        <f aca="false">IFERROR(INDEX(Participants!$T$6:$T$205,MATCH(A195,Participants!$A$6:$A$205,0)),"")</f>
        <v/>
      </c>
      <c r="H195" s="25" t="str">
        <f aca="false">IF(OR(C195="",G195&lt;&gt;"stranger"),"",IF(C195=B195,1,0))</f>
        <v/>
      </c>
      <c r="I195" s="25" t="str">
        <f aca="false">IF(G195&lt;&gt;"stranger","",IF(B195="A",IF(ISNUMBER(D195),D195,""),IF(B195="B",IF(ISNUMBER(E195),E195,""),"")))</f>
        <v/>
      </c>
      <c r="J195" s="25" t="str">
        <f aca="false">IF(G195&lt;&gt;"stranger","",IF(B195="A",IF(ISNUMBER(E195),E195,""),IF(B195="B",IF(ISNUMBER(D195),D195,""),"")))</f>
        <v/>
      </c>
      <c r="K195" s="25" t="str">
        <f aca="false">IF(OR(C195="",G195&lt;&gt;"friends &amp; family"),"",IF(C195=B195,1,0))</f>
        <v/>
      </c>
    </row>
    <row r="196" customFormat="false" ht="15" hidden="false" customHeight="true" outlineLevel="0" collapsed="false">
      <c r="A196" s="9"/>
      <c r="B196" s="9"/>
      <c r="C196" s="9"/>
      <c r="D196" s="9"/>
      <c r="E196" s="9"/>
      <c r="F196" s="9"/>
      <c r="G196" s="25" t="str">
        <f aca="false">IFERROR(INDEX(Participants!$T$6:$T$205,MATCH(A196,Participants!$A$6:$A$205,0)),"")</f>
        <v/>
      </c>
      <c r="H196" s="25" t="str">
        <f aca="false">IF(OR(C196="",G196&lt;&gt;"stranger"),"",IF(C196=B196,1,0))</f>
        <v/>
      </c>
      <c r="I196" s="25" t="str">
        <f aca="false">IF(G196&lt;&gt;"stranger","",IF(B196="A",IF(ISNUMBER(D196),D196,""),IF(B196="B",IF(ISNUMBER(E196),E196,""),"")))</f>
        <v/>
      </c>
      <c r="J196" s="25" t="str">
        <f aca="false">IF(G196&lt;&gt;"stranger","",IF(B196="A",IF(ISNUMBER(E196),E196,""),IF(B196="B",IF(ISNUMBER(D196),D196,""),"")))</f>
        <v/>
      </c>
      <c r="K196" s="25" t="str">
        <f aca="false">IF(OR(C196="",G196&lt;&gt;"friends &amp; family"),"",IF(C196=B196,1,0))</f>
        <v/>
      </c>
    </row>
    <row r="197" customFormat="false" ht="15" hidden="false" customHeight="true" outlineLevel="0" collapsed="false">
      <c r="A197" s="9"/>
      <c r="B197" s="9"/>
      <c r="C197" s="9"/>
      <c r="D197" s="9"/>
      <c r="E197" s="9"/>
      <c r="F197" s="9"/>
      <c r="G197" s="25" t="str">
        <f aca="false">IFERROR(INDEX(Participants!$T$6:$T$205,MATCH(A197,Participants!$A$6:$A$205,0)),"")</f>
        <v/>
      </c>
      <c r="H197" s="25" t="str">
        <f aca="false">IF(OR(C197="",G197&lt;&gt;"stranger"),"",IF(C197=B197,1,0))</f>
        <v/>
      </c>
      <c r="I197" s="25" t="str">
        <f aca="false">IF(G197&lt;&gt;"stranger","",IF(B197="A",IF(ISNUMBER(D197),D197,""),IF(B197="B",IF(ISNUMBER(E197),E197,""),"")))</f>
        <v/>
      </c>
      <c r="J197" s="25" t="str">
        <f aca="false">IF(G197&lt;&gt;"stranger","",IF(B197="A",IF(ISNUMBER(E197),E197,""),IF(B197="B",IF(ISNUMBER(D197),D197,""),"")))</f>
        <v/>
      </c>
      <c r="K197" s="25" t="str">
        <f aca="false">IF(OR(C197="",G197&lt;&gt;"friends &amp; family"),"",IF(C197=B197,1,0))</f>
        <v/>
      </c>
    </row>
    <row r="198" customFormat="false" ht="15" hidden="false" customHeight="true" outlineLevel="0" collapsed="false">
      <c r="A198" s="9"/>
      <c r="B198" s="9"/>
      <c r="C198" s="9"/>
      <c r="D198" s="9"/>
      <c r="E198" s="9"/>
      <c r="F198" s="9"/>
      <c r="G198" s="25" t="str">
        <f aca="false">IFERROR(INDEX(Participants!$T$6:$T$205,MATCH(A198,Participants!$A$6:$A$205,0)),"")</f>
        <v/>
      </c>
      <c r="H198" s="25" t="str">
        <f aca="false">IF(OR(C198="",G198&lt;&gt;"stranger"),"",IF(C198=B198,1,0))</f>
        <v/>
      </c>
      <c r="I198" s="25" t="str">
        <f aca="false">IF(G198&lt;&gt;"stranger","",IF(B198="A",IF(ISNUMBER(D198),D198,""),IF(B198="B",IF(ISNUMBER(E198),E198,""),"")))</f>
        <v/>
      </c>
      <c r="J198" s="25" t="str">
        <f aca="false">IF(G198&lt;&gt;"stranger","",IF(B198="A",IF(ISNUMBER(E198),E198,""),IF(B198="B",IF(ISNUMBER(D198),D198,""),"")))</f>
        <v/>
      </c>
      <c r="K198" s="25" t="str">
        <f aca="false">IF(OR(C198="",G198&lt;&gt;"friends &amp; family"),"",IF(C198=B198,1,0))</f>
        <v/>
      </c>
    </row>
    <row r="199" customFormat="false" ht="15" hidden="false" customHeight="true" outlineLevel="0" collapsed="false">
      <c r="A199" s="9"/>
      <c r="B199" s="9"/>
      <c r="C199" s="9"/>
      <c r="D199" s="9"/>
      <c r="E199" s="9"/>
      <c r="F199" s="9"/>
      <c r="G199" s="25" t="str">
        <f aca="false">IFERROR(INDEX(Participants!$T$6:$T$205,MATCH(A199,Participants!$A$6:$A$205,0)),"")</f>
        <v/>
      </c>
      <c r="H199" s="25" t="str">
        <f aca="false">IF(OR(C199="",G199&lt;&gt;"stranger"),"",IF(C199=B199,1,0))</f>
        <v/>
      </c>
      <c r="I199" s="25" t="str">
        <f aca="false">IF(G199&lt;&gt;"stranger","",IF(B199="A",IF(ISNUMBER(D199),D199,""),IF(B199="B",IF(ISNUMBER(E199),E199,""),"")))</f>
        <v/>
      </c>
      <c r="J199" s="25" t="str">
        <f aca="false">IF(G199&lt;&gt;"stranger","",IF(B199="A",IF(ISNUMBER(E199),E199,""),IF(B199="B",IF(ISNUMBER(D199),D199,""),"")))</f>
        <v/>
      </c>
      <c r="K199" s="25" t="str">
        <f aca="false">IF(OR(C199="",G199&lt;&gt;"friends &amp; family"),"",IF(C199=B199,1,0))</f>
        <v/>
      </c>
    </row>
    <row r="200" customFormat="false" ht="15" hidden="false" customHeight="true" outlineLevel="0" collapsed="false">
      <c r="A200" s="9"/>
      <c r="B200" s="9"/>
      <c r="C200" s="9"/>
      <c r="D200" s="9"/>
      <c r="E200" s="9"/>
      <c r="F200" s="9"/>
      <c r="G200" s="25" t="str">
        <f aca="false">IFERROR(INDEX(Participants!$T$6:$T$205,MATCH(A200,Participants!$A$6:$A$205,0)),"")</f>
        <v/>
      </c>
      <c r="H200" s="25" t="str">
        <f aca="false">IF(OR(C200="",G200&lt;&gt;"stranger"),"",IF(C200=B200,1,0))</f>
        <v/>
      </c>
      <c r="I200" s="25" t="str">
        <f aca="false">IF(G200&lt;&gt;"stranger","",IF(B200="A",IF(ISNUMBER(D200),D200,""),IF(B200="B",IF(ISNUMBER(E200),E200,""),"")))</f>
        <v/>
      </c>
      <c r="J200" s="25" t="str">
        <f aca="false">IF(G200&lt;&gt;"stranger","",IF(B200="A",IF(ISNUMBER(E200),E200,""),IF(B200="B",IF(ISNUMBER(D200),D200,""),"")))</f>
        <v/>
      </c>
      <c r="K200" s="25" t="str">
        <f aca="false">IF(OR(C200="",G200&lt;&gt;"friends &amp; family"),"",IF(C200=B200,1,0))</f>
        <v/>
      </c>
    </row>
    <row r="201" customFormat="false" ht="15" hidden="false" customHeight="true" outlineLevel="0" collapsed="false">
      <c r="A201" s="9"/>
      <c r="B201" s="9"/>
      <c r="C201" s="9"/>
      <c r="D201" s="9"/>
      <c r="E201" s="9"/>
      <c r="F201" s="9"/>
      <c r="G201" s="25" t="str">
        <f aca="false">IFERROR(INDEX(Participants!$T$6:$T$205,MATCH(A201,Participants!$A$6:$A$205,0)),"")</f>
        <v/>
      </c>
      <c r="H201" s="25" t="str">
        <f aca="false">IF(OR(C201="",G201&lt;&gt;"stranger"),"",IF(C201=B201,1,0))</f>
        <v/>
      </c>
      <c r="I201" s="25" t="str">
        <f aca="false">IF(G201&lt;&gt;"stranger","",IF(B201="A",IF(ISNUMBER(D201),D201,""),IF(B201="B",IF(ISNUMBER(E201),E201,""),"")))</f>
        <v/>
      </c>
      <c r="J201" s="25" t="str">
        <f aca="false">IF(G201&lt;&gt;"stranger","",IF(B201="A",IF(ISNUMBER(E201),E201,""),IF(B201="B",IF(ISNUMBER(D201),D201,""),"")))</f>
        <v/>
      </c>
      <c r="K201" s="25" t="str">
        <f aca="false">IF(OR(C201="",G201&lt;&gt;"friends &amp; family"),"",IF(C201=B201,1,0))</f>
        <v/>
      </c>
    </row>
    <row r="202" customFormat="false" ht="15" hidden="false" customHeight="true" outlineLevel="0" collapsed="false">
      <c r="A202" s="9"/>
      <c r="B202" s="9"/>
      <c r="C202" s="9"/>
      <c r="D202" s="9"/>
      <c r="E202" s="9"/>
      <c r="F202" s="9"/>
      <c r="G202" s="25" t="str">
        <f aca="false">IFERROR(INDEX(Participants!$T$6:$T$205,MATCH(A202,Participants!$A$6:$A$205,0)),"")</f>
        <v/>
      </c>
      <c r="H202" s="25" t="str">
        <f aca="false">IF(OR(C202="",G202&lt;&gt;"stranger"),"",IF(C202=B202,1,0))</f>
        <v/>
      </c>
      <c r="I202" s="25" t="str">
        <f aca="false">IF(G202&lt;&gt;"stranger","",IF(B202="A",IF(ISNUMBER(D202),D202,""),IF(B202="B",IF(ISNUMBER(E202),E202,""),"")))</f>
        <v/>
      </c>
      <c r="J202" s="25" t="str">
        <f aca="false">IF(G202&lt;&gt;"stranger","",IF(B202="A",IF(ISNUMBER(E202),E202,""),IF(B202="B",IF(ISNUMBER(D202),D202,""),"")))</f>
        <v/>
      </c>
      <c r="K202" s="25" t="str">
        <f aca="false">IF(OR(C202="",G202&lt;&gt;"friends &amp; family"),"",IF(C202=B202,1,0))</f>
        <v/>
      </c>
    </row>
    <row r="203" customFormat="false" ht="15" hidden="false" customHeight="true" outlineLevel="0" collapsed="false">
      <c r="A203" s="9"/>
      <c r="B203" s="9"/>
      <c r="C203" s="9"/>
      <c r="D203" s="9"/>
      <c r="E203" s="9"/>
      <c r="F203" s="9"/>
      <c r="G203" s="25" t="str">
        <f aca="false">IFERROR(INDEX(Participants!$T$6:$T$205,MATCH(A203,Participants!$A$6:$A$205,0)),"")</f>
        <v/>
      </c>
      <c r="H203" s="25" t="str">
        <f aca="false">IF(OR(C203="",G203&lt;&gt;"stranger"),"",IF(C203=B203,1,0))</f>
        <v/>
      </c>
      <c r="I203" s="25" t="str">
        <f aca="false">IF(G203&lt;&gt;"stranger","",IF(B203="A",IF(ISNUMBER(D203),D203,""),IF(B203="B",IF(ISNUMBER(E203),E203,""),"")))</f>
        <v/>
      </c>
      <c r="J203" s="25" t="str">
        <f aca="false">IF(G203&lt;&gt;"stranger","",IF(B203="A",IF(ISNUMBER(E203),E203,""),IF(B203="B",IF(ISNUMBER(D203),D203,""),"")))</f>
        <v/>
      </c>
      <c r="K203" s="25" t="str">
        <f aca="false">IF(OR(C203="",G203&lt;&gt;"friends &amp; family"),"",IF(C203=B203,1,0))</f>
        <v/>
      </c>
    </row>
    <row r="204" customFormat="false" ht="15" hidden="false" customHeight="true" outlineLevel="0" collapsed="false">
      <c r="A204" s="9"/>
      <c r="B204" s="9"/>
      <c r="C204" s="9"/>
      <c r="D204" s="9"/>
      <c r="E204" s="9"/>
      <c r="F204" s="9"/>
      <c r="G204" s="25" t="str">
        <f aca="false">IFERROR(INDEX(Participants!$T$6:$T$205,MATCH(A204,Participants!$A$6:$A$205,0)),"")</f>
        <v/>
      </c>
      <c r="H204" s="25" t="str">
        <f aca="false">IF(OR(C204="",G204&lt;&gt;"stranger"),"",IF(C204=B204,1,0))</f>
        <v/>
      </c>
      <c r="I204" s="25" t="str">
        <f aca="false">IF(G204&lt;&gt;"stranger","",IF(B204="A",IF(ISNUMBER(D204),D204,""),IF(B204="B",IF(ISNUMBER(E204),E204,""),"")))</f>
        <v/>
      </c>
      <c r="J204" s="25" t="str">
        <f aca="false">IF(G204&lt;&gt;"stranger","",IF(B204="A",IF(ISNUMBER(E204),E204,""),IF(B204="B",IF(ISNUMBER(D204),D204,""),"")))</f>
        <v/>
      </c>
      <c r="K204" s="25" t="str">
        <f aca="false">IF(OR(C204="",G204&lt;&gt;"friends &amp; family"),"",IF(C204=B204,1,0))</f>
        <v/>
      </c>
    </row>
    <row r="205" customFormat="false" ht="15" hidden="false" customHeight="true" outlineLevel="0" collapsed="false">
      <c r="A205" s="9"/>
      <c r="B205" s="9"/>
      <c r="C205" s="9"/>
      <c r="D205" s="9"/>
      <c r="E205" s="9"/>
      <c r="F205" s="9"/>
      <c r="G205" s="25" t="str">
        <f aca="false">IFERROR(INDEX(Participants!$T$6:$T$205,MATCH(A205,Participants!$A$6:$A$205,0)),"")</f>
        <v/>
      </c>
      <c r="H205" s="25" t="str">
        <f aca="false">IF(OR(C205="",G205&lt;&gt;"stranger"),"",IF(C205=B205,1,0))</f>
        <v/>
      </c>
      <c r="I205" s="25" t="str">
        <f aca="false">IF(G205&lt;&gt;"stranger","",IF(B205="A",IF(ISNUMBER(D205),D205,""),IF(B205="B",IF(ISNUMBER(E205),E205,""),"")))</f>
        <v/>
      </c>
      <c r="J205" s="25" t="str">
        <f aca="false">IF(G205&lt;&gt;"stranger","",IF(B205="A",IF(ISNUMBER(E205),E205,""),IF(B205="B",IF(ISNUMBER(D205),D205,""),"")))</f>
        <v/>
      </c>
      <c r="K205" s="25" t="str">
        <f aca="false">IF(OR(C205="",G205&lt;&gt;"friends &amp; family"),"",IF(C205=B205,1,0))</f>
        <v/>
      </c>
    </row>
  </sheetData>
  <dataValidations count="3">
    <dataValidation allowBlank="true" errorStyle="stop" operator="between" showDropDown="false" showErrorMessage="false" showInputMessage="false" sqref="D6:E205" type="whole">
      <formula1>1</formula1>
      <formula2>5</formula2>
    </dataValidation>
    <dataValidation allowBlank="true" errorStyle="stop" operator="between" showDropDown="false" showErrorMessage="false" showInputMessage="false" sqref="B6:B205" type="list">
      <formula1>"A,B"</formula1>
      <formula2>0</formula2>
    </dataValidation>
    <dataValidation allowBlank="true" errorStyle="stop" operator="between" showDropDown="false" showErrorMessage="false" showInputMessage="false" sqref="C6:C205" type="list">
      <formula1>"A,B"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1"/>
    <col collapsed="false" customWidth="true" hidden="false" outlineLevel="0" max="10" min="10" style="1" width="13"/>
    <col collapsed="false" customWidth="true" hidden="false" outlineLevel="0" max="11" min="11" style="1" width="40"/>
    <col collapsed="false" customWidth="true" hidden="false" outlineLevel="0" max="12" min="12" style="1" width="16"/>
  </cols>
  <sheetData>
    <row r="1" customFormat="false" ht="17.25" hidden="false" customHeight="true" outlineLevel="0" collapsed="false">
      <c r="A1" s="6" t="s">
        <v>185</v>
      </c>
    </row>
    <row r="2" customFormat="false" ht="15" hidden="false" customHeight="true" outlineLevel="0" collapsed="false">
      <c r="A2" s="7" t="s">
        <v>186</v>
      </c>
    </row>
    <row r="3" customFormat="false" ht="15" hidden="false" customHeight="true" outlineLevel="0" collapsed="false">
      <c r="A3" s="21" t="s">
        <v>89</v>
      </c>
    </row>
    <row r="4" customFormat="false" ht="15" hidden="false" customHeight="true" outlineLevel="0" collapsed="false">
      <c r="A4" s="22" t="s">
        <v>90</v>
      </c>
      <c r="B4" s="22" t="s">
        <v>187</v>
      </c>
      <c r="C4" s="22" t="s">
        <v>188</v>
      </c>
      <c r="D4" s="22" t="s">
        <v>189</v>
      </c>
      <c r="E4" s="22" t="s">
        <v>190</v>
      </c>
      <c r="F4" s="22" t="s">
        <v>96</v>
      </c>
      <c r="G4" s="22" t="n">
        <v>2</v>
      </c>
      <c r="H4" s="22" t="n">
        <v>1</v>
      </c>
      <c r="I4" s="22" t="n">
        <v>1</v>
      </c>
      <c r="J4" s="22" t="s">
        <v>95</v>
      </c>
      <c r="K4" s="22" t="s">
        <v>191</v>
      </c>
    </row>
    <row r="5" customFormat="false" ht="42" hidden="false" customHeight="true" outlineLevel="0" collapsed="false">
      <c r="A5" s="23" t="s">
        <v>161</v>
      </c>
      <c r="B5" s="23" t="s">
        <v>192</v>
      </c>
      <c r="C5" s="23" t="s">
        <v>193</v>
      </c>
      <c r="D5" s="23" t="s">
        <v>194</v>
      </c>
      <c r="E5" s="23" t="s">
        <v>195</v>
      </c>
      <c r="F5" s="23" t="s">
        <v>196</v>
      </c>
      <c r="G5" s="23" t="s">
        <v>197</v>
      </c>
      <c r="H5" s="23" t="s">
        <v>198</v>
      </c>
      <c r="I5" s="23" t="s">
        <v>199</v>
      </c>
      <c r="J5" s="23" t="s">
        <v>200</v>
      </c>
      <c r="K5" s="23" t="s">
        <v>201</v>
      </c>
      <c r="L5" s="24" t="s">
        <v>179</v>
      </c>
    </row>
    <row r="6" customFormat="false" ht="15" hidden="false" customHeight="true" outlineLevel="0" collapsed="false">
      <c r="A6" s="9" t="s">
        <v>137</v>
      </c>
      <c r="B6" s="9"/>
      <c r="C6" s="9"/>
      <c r="D6" s="9"/>
      <c r="E6" s="9"/>
      <c r="F6" s="9"/>
      <c r="G6" s="9"/>
      <c r="H6" s="9"/>
      <c r="I6" s="9"/>
      <c r="J6" s="9"/>
      <c r="K6" s="9"/>
      <c r="L6" s="25" t="n">
        <f aca="false">IFERROR(INDEX(Participants!$T$6:$T$205,MATCH(A6,Participants!$A$6:$A$205,0)),"")</f>
        <v>0</v>
      </c>
    </row>
    <row r="7" customFormat="false" ht="15" hidden="false" customHeight="true" outlineLevel="0" collapsed="false">
      <c r="A7" s="9" t="s">
        <v>138</v>
      </c>
      <c r="B7" s="9"/>
      <c r="C7" s="9"/>
      <c r="D7" s="9"/>
      <c r="E7" s="9"/>
      <c r="F7" s="9"/>
      <c r="G7" s="9"/>
      <c r="H7" s="9"/>
      <c r="I7" s="9"/>
      <c r="J7" s="9"/>
      <c r="K7" s="9"/>
      <c r="L7" s="25" t="n">
        <f aca="false">IFERROR(INDEX(Participants!$T$6:$T$205,MATCH(A7,Participants!$A$6:$A$205,0)),"")</f>
        <v>0</v>
      </c>
    </row>
    <row r="8" customFormat="false" ht="15" hidden="false" customHeight="true" outlineLevel="0" collapsed="false">
      <c r="A8" s="9" t="s">
        <v>139</v>
      </c>
      <c r="B8" s="9"/>
      <c r="C8" s="9"/>
      <c r="D8" s="9"/>
      <c r="E8" s="9"/>
      <c r="F8" s="9"/>
      <c r="G8" s="9"/>
      <c r="H8" s="9"/>
      <c r="I8" s="9"/>
      <c r="J8" s="9"/>
      <c r="K8" s="9"/>
      <c r="L8" s="25" t="n">
        <f aca="false">IFERROR(INDEX(Participants!$T$6:$T$205,MATCH(A8,Participants!$A$6:$A$205,0)),"")</f>
        <v>0</v>
      </c>
    </row>
    <row r="9" customFormat="false" ht="15" hidden="false" customHeight="true" outlineLevel="0" collapsed="false">
      <c r="A9" s="9" t="s">
        <v>140</v>
      </c>
      <c r="B9" s="9"/>
      <c r="C9" s="9"/>
      <c r="D9" s="9"/>
      <c r="E9" s="9"/>
      <c r="F9" s="9"/>
      <c r="G9" s="9"/>
      <c r="H9" s="9"/>
      <c r="I9" s="9"/>
      <c r="J9" s="9"/>
      <c r="K9" s="9"/>
      <c r="L9" s="25" t="n">
        <f aca="false">IFERROR(INDEX(Participants!$T$6:$T$205,MATCH(A9,Participants!$A$6:$A$205,0)),"")</f>
        <v>0</v>
      </c>
    </row>
    <row r="10" customFormat="false" ht="15" hidden="false" customHeight="true" outlineLevel="0" collapsed="false">
      <c r="A10" s="9" t="s">
        <v>141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25" t="n">
        <f aca="false">IFERROR(INDEX(Participants!$T$6:$T$205,MATCH(A10,Participants!$A$6:$A$205,0)),"")</f>
        <v>0</v>
      </c>
    </row>
    <row r="11" customFormat="false" ht="15" hidden="false" customHeight="true" outlineLevel="0" collapsed="false">
      <c r="A11" s="9" t="s">
        <v>142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25" t="n">
        <f aca="false">IFERROR(INDEX(Participants!$T$6:$T$205,MATCH(A11,Participants!$A$6:$A$205,0)),"")</f>
        <v>0</v>
      </c>
    </row>
    <row r="12" customFormat="false" ht="15" hidden="false" customHeight="true" outlineLevel="0" collapsed="false">
      <c r="A12" s="9" t="s">
        <v>143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25" t="n">
        <f aca="false">IFERROR(INDEX(Participants!$T$6:$T$205,MATCH(A12,Participants!$A$6:$A$205,0)),"")</f>
        <v>0</v>
      </c>
    </row>
    <row r="13" customFormat="false" ht="15" hidden="false" customHeight="true" outlineLevel="0" collapsed="false">
      <c r="A13" s="9" t="s">
        <v>144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25" t="n">
        <f aca="false">IFERROR(INDEX(Participants!$T$6:$T$205,MATCH(A13,Participants!$A$6:$A$205,0)),"")</f>
        <v>0</v>
      </c>
    </row>
    <row r="14" customFormat="false" ht="15" hidden="false" customHeight="true" outlineLevel="0" collapsed="false">
      <c r="A14" s="9" t="s">
        <v>145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25" t="n">
        <f aca="false">IFERROR(INDEX(Participants!$T$6:$T$205,MATCH(A14,Participants!$A$6:$A$205,0)),"")</f>
        <v>0</v>
      </c>
    </row>
    <row r="15" customFormat="false" ht="15" hidden="false" customHeight="true" outlineLevel="0" collapsed="false">
      <c r="A15" s="9" t="s">
        <v>146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25" t="n">
        <f aca="false">IFERROR(INDEX(Participants!$T$6:$T$205,MATCH(A15,Participants!$A$6:$A$205,0)),"")</f>
        <v>0</v>
      </c>
    </row>
    <row r="16" customFormat="false" ht="15" hidden="false" customHeight="true" outlineLevel="0" collapsed="false">
      <c r="A16" s="9" t="s">
        <v>147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25" t="n">
        <f aca="false">IFERROR(INDEX(Participants!$T$6:$T$205,MATCH(A16,Participants!$A$6:$A$205,0)),"")</f>
        <v>0</v>
      </c>
    </row>
    <row r="17" customFormat="false" ht="15" hidden="false" customHeight="true" outlineLevel="0" collapsed="false">
      <c r="A17" s="9" t="s">
        <v>148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25" t="n">
        <f aca="false">IFERROR(INDEX(Participants!$T$6:$T$205,MATCH(A17,Participants!$A$6:$A$205,0)),"")</f>
        <v>0</v>
      </c>
    </row>
    <row r="18" customFormat="false" ht="15" hidden="false" customHeight="true" outlineLevel="0" collapsed="false">
      <c r="A18" s="9" t="s">
        <v>149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25" t="n">
        <f aca="false">IFERROR(INDEX(Participants!$T$6:$T$205,MATCH(A18,Participants!$A$6:$A$205,0)),"")</f>
        <v>0</v>
      </c>
    </row>
    <row r="19" customFormat="false" ht="15" hidden="false" customHeight="true" outlineLevel="0" collapsed="false">
      <c r="A19" s="9" t="s">
        <v>150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25" t="n">
        <f aca="false">IFERROR(INDEX(Participants!$T$6:$T$205,MATCH(A19,Participants!$A$6:$A$205,0)),"")</f>
        <v>0</v>
      </c>
    </row>
    <row r="20" customFormat="false" ht="15" hidden="false" customHeight="true" outlineLevel="0" collapsed="false">
      <c r="A20" s="9" t="s">
        <v>151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25" t="n">
        <f aca="false">IFERROR(INDEX(Participants!$T$6:$T$205,MATCH(A20,Participants!$A$6:$A$205,0)),"")</f>
        <v>0</v>
      </c>
    </row>
    <row r="21" customFormat="false" ht="15" hidden="false" customHeight="true" outlineLevel="0" collapsed="false">
      <c r="A21" s="9" t="s">
        <v>152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25" t="n">
        <f aca="false">IFERROR(INDEX(Participants!$T$6:$T$205,MATCH(A21,Participants!$A$6:$A$205,0)),"")</f>
        <v>0</v>
      </c>
    </row>
    <row r="22" customFormat="false" ht="15" hidden="false" customHeight="true" outlineLevel="0" collapsed="false">
      <c r="A22" s="9" t="s">
        <v>153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25" t="n">
        <f aca="false">IFERROR(INDEX(Participants!$T$6:$T$205,MATCH(A22,Participants!$A$6:$A$205,0)),"")</f>
        <v>0</v>
      </c>
    </row>
    <row r="23" customFormat="false" ht="15" hidden="false" customHeight="true" outlineLevel="0" collapsed="false">
      <c r="A23" s="9" t="s">
        <v>154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25" t="n">
        <f aca="false">IFERROR(INDEX(Participants!$T$6:$T$205,MATCH(A23,Participants!$A$6:$A$205,0)),"")</f>
        <v>0</v>
      </c>
    </row>
    <row r="24" customFormat="false" ht="15" hidden="false" customHeight="true" outlineLevel="0" collapsed="false">
      <c r="A24" s="9" t="s">
        <v>155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25" t="n">
        <f aca="false">IFERROR(INDEX(Participants!$T$6:$T$205,MATCH(A24,Participants!$A$6:$A$205,0)),"")</f>
        <v>0</v>
      </c>
    </row>
    <row r="25" customFormat="false" ht="15" hidden="false" customHeight="true" outlineLevel="0" collapsed="false">
      <c r="A25" s="9" t="s">
        <v>156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25" t="n">
        <f aca="false">IFERROR(INDEX(Participants!$T$6:$T$205,MATCH(A25,Participants!$A$6:$A$205,0)),"")</f>
        <v>0</v>
      </c>
    </row>
    <row r="26" customFormat="false" ht="1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25" t="str">
        <f aca="false">IFERROR(INDEX(Participants!$T$6:$T$205,MATCH(A26,Participants!$A$6:$A$205,0)),"")</f>
        <v/>
      </c>
    </row>
    <row r="27" customFormat="false" ht="1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25" t="str">
        <f aca="false">IFERROR(INDEX(Participants!$T$6:$T$205,MATCH(A27,Participants!$A$6:$A$205,0)),"")</f>
        <v/>
      </c>
    </row>
    <row r="28" customFormat="false" ht="1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25" t="str">
        <f aca="false">IFERROR(INDEX(Participants!$T$6:$T$205,MATCH(A28,Participants!$A$6:$A$205,0)),"")</f>
        <v/>
      </c>
    </row>
    <row r="29" customFormat="false" ht="1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25" t="str">
        <f aca="false">IFERROR(INDEX(Participants!$T$6:$T$205,MATCH(A29,Participants!$A$6:$A$205,0)),"")</f>
        <v/>
      </c>
    </row>
    <row r="30" customFormat="false" ht="1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25" t="str">
        <f aca="false">IFERROR(INDEX(Participants!$T$6:$T$205,MATCH(A30,Participants!$A$6:$A$205,0)),"")</f>
        <v/>
      </c>
    </row>
    <row r="31" customFormat="false" ht="1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25" t="str">
        <f aca="false">IFERROR(INDEX(Participants!$T$6:$T$205,MATCH(A31,Participants!$A$6:$A$205,0)),"")</f>
        <v/>
      </c>
    </row>
    <row r="32" customFormat="false" ht="1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25" t="str">
        <f aca="false">IFERROR(INDEX(Participants!$T$6:$T$205,MATCH(A32,Participants!$A$6:$A$205,0)),"")</f>
        <v/>
      </c>
    </row>
    <row r="33" customFormat="false" ht="1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25" t="str">
        <f aca="false">IFERROR(INDEX(Participants!$T$6:$T$205,MATCH(A33,Participants!$A$6:$A$205,0)),"")</f>
        <v/>
      </c>
    </row>
    <row r="34" customFormat="false" ht="1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25" t="str">
        <f aca="false">IFERROR(INDEX(Participants!$T$6:$T$205,MATCH(A34,Participants!$A$6:$A$205,0)),"")</f>
        <v/>
      </c>
    </row>
    <row r="35" customFormat="false" ht="1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25" t="str">
        <f aca="false">IFERROR(INDEX(Participants!$T$6:$T$205,MATCH(A35,Participants!$A$6:$A$205,0)),"")</f>
        <v/>
      </c>
    </row>
    <row r="36" customFormat="false" ht="1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25" t="str">
        <f aca="false">IFERROR(INDEX(Participants!$T$6:$T$205,MATCH(A36,Participants!$A$6:$A$205,0)),"")</f>
        <v/>
      </c>
    </row>
    <row r="37" customFormat="false" ht="1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25" t="str">
        <f aca="false">IFERROR(INDEX(Participants!$T$6:$T$205,MATCH(A37,Participants!$A$6:$A$205,0)),"")</f>
        <v/>
      </c>
    </row>
    <row r="38" customFormat="false" ht="1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25" t="str">
        <f aca="false">IFERROR(INDEX(Participants!$T$6:$T$205,MATCH(A38,Participants!$A$6:$A$205,0)),"")</f>
        <v/>
      </c>
    </row>
    <row r="39" customFormat="false" ht="1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25" t="str">
        <f aca="false">IFERROR(INDEX(Participants!$T$6:$T$205,MATCH(A39,Participants!$A$6:$A$205,0)),"")</f>
        <v/>
      </c>
    </row>
    <row r="40" customFormat="false" ht="1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25" t="str">
        <f aca="false">IFERROR(INDEX(Participants!$T$6:$T$205,MATCH(A40,Participants!$A$6:$A$205,0)),"")</f>
        <v/>
      </c>
    </row>
    <row r="41" customFormat="false" ht="15" hidden="false" customHeight="tru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25" t="str">
        <f aca="false">IFERROR(INDEX(Participants!$T$6:$T$205,MATCH(A41,Participants!$A$6:$A$205,0)),"")</f>
        <v/>
      </c>
    </row>
    <row r="42" customFormat="false" ht="15" hidden="false" customHeight="tru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25" t="str">
        <f aca="false">IFERROR(INDEX(Participants!$T$6:$T$205,MATCH(A42,Participants!$A$6:$A$205,0)),"")</f>
        <v/>
      </c>
    </row>
    <row r="43" customFormat="false" ht="15" hidden="false" customHeight="tru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25" t="str">
        <f aca="false">IFERROR(INDEX(Participants!$T$6:$T$205,MATCH(A43,Participants!$A$6:$A$205,0)),"")</f>
        <v/>
      </c>
    </row>
    <row r="44" customFormat="false" ht="15" hidden="false" customHeight="tru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25" t="str">
        <f aca="false">IFERROR(INDEX(Participants!$T$6:$T$205,MATCH(A44,Participants!$A$6:$A$205,0)),"")</f>
        <v/>
      </c>
    </row>
    <row r="45" customFormat="false" ht="15" hidden="false" customHeight="tru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25" t="str">
        <f aca="false">IFERROR(INDEX(Participants!$T$6:$T$205,MATCH(A45,Participants!$A$6:$A$205,0)),"")</f>
        <v/>
      </c>
    </row>
    <row r="46" customFormat="false" ht="15" hidden="false" customHeight="tru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25" t="str">
        <f aca="false">IFERROR(INDEX(Participants!$T$6:$T$205,MATCH(A46,Participants!$A$6:$A$205,0)),"")</f>
        <v/>
      </c>
    </row>
    <row r="47" customFormat="false" ht="15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25" t="str">
        <f aca="false">IFERROR(INDEX(Participants!$T$6:$T$205,MATCH(A47,Participants!$A$6:$A$205,0)),"")</f>
        <v/>
      </c>
    </row>
    <row r="48" customFormat="false" ht="15" hidden="false" customHeight="tru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25" t="str">
        <f aca="false">IFERROR(INDEX(Participants!$T$6:$T$205,MATCH(A48,Participants!$A$6:$A$205,0)),"")</f>
        <v/>
      </c>
    </row>
    <row r="49" customFormat="false" ht="15" hidden="false" customHeight="tru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25" t="str">
        <f aca="false">IFERROR(INDEX(Participants!$T$6:$T$205,MATCH(A49,Participants!$A$6:$A$205,0)),"")</f>
        <v/>
      </c>
    </row>
    <row r="50" customFormat="false" ht="15" hidden="false" customHeight="tru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25" t="str">
        <f aca="false">IFERROR(INDEX(Participants!$T$6:$T$205,MATCH(A50,Participants!$A$6:$A$205,0)),"")</f>
        <v/>
      </c>
    </row>
    <row r="51" customFormat="false" ht="15" hidden="false" customHeight="tru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25" t="str">
        <f aca="false">IFERROR(INDEX(Participants!$T$6:$T$205,MATCH(A51,Participants!$A$6:$A$205,0)),"")</f>
        <v/>
      </c>
    </row>
    <row r="52" customFormat="false" ht="15" hidden="false" customHeight="tru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25" t="str">
        <f aca="false">IFERROR(INDEX(Participants!$T$6:$T$205,MATCH(A52,Participants!$A$6:$A$205,0)),"")</f>
        <v/>
      </c>
    </row>
    <row r="53" customFormat="false" ht="15" hidden="false" customHeight="tru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25" t="str">
        <f aca="false">IFERROR(INDEX(Participants!$T$6:$T$205,MATCH(A53,Participants!$A$6:$A$205,0)),"")</f>
        <v/>
      </c>
    </row>
    <row r="54" customFormat="false" ht="15" hidden="false" customHeight="tru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25" t="str">
        <f aca="false">IFERROR(INDEX(Participants!$T$6:$T$205,MATCH(A54,Participants!$A$6:$A$205,0)),"")</f>
        <v/>
      </c>
    </row>
    <row r="55" customFormat="false" ht="15" hidden="false" customHeight="tru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25" t="str">
        <f aca="false">IFERROR(INDEX(Participants!$T$6:$T$205,MATCH(A55,Participants!$A$6:$A$205,0)),"")</f>
        <v/>
      </c>
    </row>
    <row r="56" customFormat="false" ht="15" hidden="false" customHeight="tru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25" t="str">
        <f aca="false">IFERROR(INDEX(Participants!$T$6:$T$205,MATCH(A56,Participants!$A$6:$A$205,0)),"")</f>
        <v/>
      </c>
    </row>
    <row r="57" customFormat="false" ht="15" hidden="false" customHeight="tru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25" t="str">
        <f aca="false">IFERROR(INDEX(Participants!$T$6:$T$205,MATCH(A57,Participants!$A$6:$A$205,0)),"")</f>
        <v/>
      </c>
    </row>
    <row r="58" customFormat="false" ht="15" hidden="false" customHeight="tru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25" t="str">
        <f aca="false">IFERROR(INDEX(Participants!$T$6:$T$205,MATCH(A58,Participants!$A$6:$A$205,0)),"")</f>
        <v/>
      </c>
    </row>
    <row r="59" customFormat="false" ht="15" hidden="false" customHeight="tru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25" t="str">
        <f aca="false">IFERROR(INDEX(Participants!$T$6:$T$205,MATCH(A59,Participants!$A$6:$A$205,0)),"")</f>
        <v/>
      </c>
    </row>
    <row r="60" customFormat="false" ht="15" hidden="false" customHeight="tru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25" t="str">
        <f aca="false">IFERROR(INDEX(Participants!$T$6:$T$205,MATCH(A60,Participants!$A$6:$A$205,0)),"")</f>
        <v/>
      </c>
    </row>
    <row r="61" customFormat="false" ht="15" hidden="false" customHeight="tru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25" t="str">
        <f aca="false">IFERROR(INDEX(Participants!$T$6:$T$205,MATCH(A61,Participants!$A$6:$A$205,0)),"")</f>
        <v/>
      </c>
    </row>
    <row r="62" customFormat="false" ht="15" hidden="false" customHeight="tru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25" t="str">
        <f aca="false">IFERROR(INDEX(Participants!$T$6:$T$205,MATCH(A62,Participants!$A$6:$A$205,0)),"")</f>
        <v/>
      </c>
    </row>
    <row r="63" customFormat="false" ht="15" hidden="false" customHeight="tru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25" t="str">
        <f aca="false">IFERROR(INDEX(Participants!$T$6:$T$205,MATCH(A63,Participants!$A$6:$A$205,0)),"")</f>
        <v/>
      </c>
    </row>
    <row r="64" customFormat="false" ht="15" hidden="false" customHeight="tru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25" t="str">
        <f aca="false">IFERROR(INDEX(Participants!$T$6:$T$205,MATCH(A64,Participants!$A$6:$A$205,0)),"")</f>
        <v/>
      </c>
    </row>
    <row r="65" customFormat="false" ht="15" hidden="false" customHeight="tru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25" t="str">
        <f aca="false">IFERROR(INDEX(Participants!$T$6:$T$205,MATCH(A65,Participants!$A$6:$A$205,0)),"")</f>
        <v/>
      </c>
    </row>
    <row r="66" customFormat="false" ht="15" hidden="false" customHeight="tru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25" t="str">
        <f aca="false">IFERROR(INDEX(Participants!$T$6:$T$205,MATCH(A66,Participants!$A$6:$A$205,0)),"")</f>
        <v/>
      </c>
    </row>
    <row r="67" customFormat="false" ht="15" hidden="false" customHeight="tru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25" t="str">
        <f aca="false">IFERROR(INDEX(Participants!$T$6:$T$205,MATCH(A67,Participants!$A$6:$A$205,0)),"")</f>
        <v/>
      </c>
    </row>
    <row r="68" customFormat="false" ht="15" hidden="false" customHeight="tru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25" t="str">
        <f aca="false">IFERROR(INDEX(Participants!$T$6:$T$205,MATCH(A68,Participants!$A$6:$A$205,0)),"")</f>
        <v/>
      </c>
    </row>
    <row r="69" customFormat="false" ht="15" hidden="false" customHeight="tru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25" t="str">
        <f aca="false">IFERROR(INDEX(Participants!$T$6:$T$205,MATCH(A69,Participants!$A$6:$A$205,0)),"")</f>
        <v/>
      </c>
    </row>
    <row r="70" customFormat="false" ht="15" hidden="false" customHeight="tru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25" t="str">
        <f aca="false">IFERROR(INDEX(Participants!$T$6:$T$205,MATCH(A70,Participants!$A$6:$A$205,0)),"")</f>
        <v/>
      </c>
    </row>
    <row r="71" customFormat="false" ht="15" hidden="false" customHeight="tru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25" t="str">
        <f aca="false">IFERROR(INDEX(Participants!$T$6:$T$205,MATCH(A71,Participants!$A$6:$A$205,0)),"")</f>
        <v/>
      </c>
    </row>
    <row r="72" customFormat="false" ht="15" hidden="false" customHeight="tru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25" t="str">
        <f aca="false">IFERROR(INDEX(Participants!$T$6:$T$205,MATCH(A72,Participants!$A$6:$A$205,0)),"")</f>
        <v/>
      </c>
    </row>
    <row r="73" customFormat="false" ht="15" hidden="false" customHeight="tru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25" t="str">
        <f aca="false">IFERROR(INDEX(Participants!$T$6:$T$205,MATCH(A73,Participants!$A$6:$A$205,0)),"")</f>
        <v/>
      </c>
    </row>
    <row r="74" customFormat="false" ht="15" hidden="false" customHeight="tru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25" t="str">
        <f aca="false">IFERROR(INDEX(Participants!$T$6:$T$205,MATCH(A74,Participants!$A$6:$A$205,0)),"")</f>
        <v/>
      </c>
    </row>
    <row r="75" customFormat="false" ht="15" hidden="false" customHeight="tru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25" t="str">
        <f aca="false">IFERROR(INDEX(Participants!$T$6:$T$205,MATCH(A75,Participants!$A$6:$A$205,0)),"")</f>
        <v/>
      </c>
    </row>
    <row r="76" customFormat="false" ht="15" hidden="false" customHeight="tru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25" t="str">
        <f aca="false">IFERROR(INDEX(Participants!$T$6:$T$205,MATCH(A76,Participants!$A$6:$A$205,0)),"")</f>
        <v/>
      </c>
    </row>
    <row r="77" customFormat="false" ht="15" hidden="false" customHeight="tru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25" t="str">
        <f aca="false">IFERROR(INDEX(Participants!$T$6:$T$205,MATCH(A77,Participants!$A$6:$A$205,0)),"")</f>
        <v/>
      </c>
    </row>
    <row r="78" customFormat="false" ht="15" hidden="false" customHeight="tru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25" t="str">
        <f aca="false">IFERROR(INDEX(Participants!$T$6:$T$205,MATCH(A78,Participants!$A$6:$A$205,0)),"")</f>
        <v/>
      </c>
    </row>
    <row r="79" customFormat="false" ht="15" hidden="false" customHeight="tru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25" t="str">
        <f aca="false">IFERROR(INDEX(Participants!$T$6:$T$205,MATCH(A79,Participants!$A$6:$A$205,0)),"")</f>
        <v/>
      </c>
    </row>
    <row r="80" customFormat="false" ht="15" hidden="false" customHeight="tru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25" t="str">
        <f aca="false">IFERROR(INDEX(Participants!$T$6:$T$205,MATCH(A80,Participants!$A$6:$A$205,0)),"")</f>
        <v/>
      </c>
    </row>
    <row r="81" customFormat="false" ht="15" hidden="false" customHeight="tru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25" t="str">
        <f aca="false">IFERROR(INDEX(Participants!$T$6:$T$205,MATCH(A81,Participants!$A$6:$A$205,0)),"")</f>
        <v/>
      </c>
    </row>
    <row r="82" customFormat="false" ht="15" hidden="false" customHeight="tru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25" t="str">
        <f aca="false">IFERROR(INDEX(Participants!$T$6:$T$205,MATCH(A82,Participants!$A$6:$A$205,0)),"")</f>
        <v/>
      </c>
    </row>
    <row r="83" customFormat="false" ht="15" hidden="false" customHeight="tru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25" t="str">
        <f aca="false">IFERROR(INDEX(Participants!$T$6:$T$205,MATCH(A83,Participants!$A$6:$A$205,0)),"")</f>
        <v/>
      </c>
    </row>
    <row r="84" customFormat="false" ht="15" hidden="false" customHeight="tru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25" t="str">
        <f aca="false">IFERROR(INDEX(Participants!$T$6:$T$205,MATCH(A84,Participants!$A$6:$A$205,0)),"")</f>
        <v/>
      </c>
    </row>
    <row r="85" customFormat="false" ht="15" hidden="false" customHeight="tru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25" t="str">
        <f aca="false">IFERROR(INDEX(Participants!$T$6:$T$205,MATCH(A85,Participants!$A$6:$A$205,0)),"")</f>
        <v/>
      </c>
    </row>
    <row r="86" customFormat="false" ht="15" hidden="false" customHeight="tru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25" t="str">
        <f aca="false">IFERROR(INDEX(Participants!$T$6:$T$205,MATCH(A86,Participants!$A$6:$A$205,0)),"")</f>
        <v/>
      </c>
    </row>
    <row r="87" customFormat="false" ht="15" hidden="false" customHeight="tru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25" t="str">
        <f aca="false">IFERROR(INDEX(Participants!$T$6:$T$205,MATCH(A87,Participants!$A$6:$A$205,0)),"")</f>
        <v/>
      </c>
    </row>
    <row r="88" customFormat="false" ht="15" hidden="false" customHeight="tru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25" t="str">
        <f aca="false">IFERROR(INDEX(Participants!$T$6:$T$205,MATCH(A88,Participants!$A$6:$A$205,0)),"")</f>
        <v/>
      </c>
    </row>
    <row r="89" customFormat="false" ht="15" hidden="false" customHeight="tru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25" t="str">
        <f aca="false">IFERROR(INDEX(Participants!$T$6:$T$205,MATCH(A89,Participants!$A$6:$A$205,0)),"")</f>
        <v/>
      </c>
    </row>
    <row r="90" customFormat="false" ht="15" hidden="false" customHeight="tru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25" t="str">
        <f aca="false">IFERROR(INDEX(Participants!$T$6:$T$205,MATCH(A90,Participants!$A$6:$A$205,0)),"")</f>
        <v/>
      </c>
    </row>
    <row r="91" customFormat="false" ht="15" hidden="false" customHeight="tru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25" t="str">
        <f aca="false">IFERROR(INDEX(Participants!$T$6:$T$205,MATCH(A91,Participants!$A$6:$A$205,0)),"")</f>
        <v/>
      </c>
    </row>
    <row r="92" customFormat="false" ht="15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25" t="str">
        <f aca="false">IFERROR(INDEX(Participants!$T$6:$T$205,MATCH(A92,Participants!$A$6:$A$205,0)),"")</f>
        <v/>
      </c>
    </row>
    <row r="93" customFormat="false" ht="15" hidden="false" customHeight="tru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25" t="str">
        <f aca="false">IFERROR(INDEX(Participants!$T$6:$T$205,MATCH(A93,Participants!$A$6:$A$205,0)),"")</f>
        <v/>
      </c>
    </row>
    <row r="94" customFormat="false" ht="15" hidden="false" customHeight="tru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25" t="str">
        <f aca="false">IFERROR(INDEX(Participants!$T$6:$T$205,MATCH(A94,Participants!$A$6:$A$205,0)),"")</f>
        <v/>
      </c>
    </row>
    <row r="95" customFormat="false" ht="15" hidden="false" customHeight="tru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25" t="str">
        <f aca="false">IFERROR(INDEX(Participants!$T$6:$T$205,MATCH(A95,Participants!$A$6:$A$205,0)),"")</f>
        <v/>
      </c>
    </row>
    <row r="96" customFormat="false" ht="1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25" t="str">
        <f aca="false">IFERROR(INDEX(Participants!$T$6:$T$205,MATCH(A96,Participants!$A$6:$A$205,0)),"")</f>
        <v/>
      </c>
    </row>
    <row r="97" customFormat="false" ht="1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25" t="str">
        <f aca="false">IFERROR(INDEX(Participants!$T$6:$T$205,MATCH(A97,Participants!$A$6:$A$205,0)),"")</f>
        <v/>
      </c>
    </row>
    <row r="98" customFormat="false" ht="1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25" t="str">
        <f aca="false">IFERROR(INDEX(Participants!$T$6:$T$205,MATCH(A98,Participants!$A$6:$A$205,0)),"")</f>
        <v/>
      </c>
    </row>
    <row r="99" customFormat="false" ht="15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25" t="str">
        <f aca="false">IFERROR(INDEX(Participants!$T$6:$T$205,MATCH(A99,Participants!$A$6:$A$205,0)),"")</f>
        <v/>
      </c>
    </row>
    <row r="100" customFormat="false" ht="15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25" t="str">
        <f aca="false">IFERROR(INDEX(Participants!$T$6:$T$205,MATCH(A100,Participants!$A$6:$A$205,0)),"")</f>
        <v/>
      </c>
    </row>
    <row r="101" customFormat="false" ht="15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25" t="str">
        <f aca="false">IFERROR(INDEX(Participants!$T$6:$T$205,MATCH(A101,Participants!$A$6:$A$205,0)),"")</f>
        <v/>
      </c>
    </row>
    <row r="102" customFormat="false" ht="15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25" t="str">
        <f aca="false">IFERROR(INDEX(Participants!$T$6:$T$205,MATCH(A102,Participants!$A$6:$A$205,0)),"")</f>
        <v/>
      </c>
    </row>
    <row r="103" customFormat="false" ht="1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25" t="str">
        <f aca="false">IFERROR(INDEX(Participants!$T$6:$T$205,MATCH(A103,Participants!$A$6:$A$205,0)),"")</f>
        <v/>
      </c>
    </row>
    <row r="104" customFormat="false" ht="1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25" t="str">
        <f aca="false">IFERROR(INDEX(Participants!$T$6:$T$205,MATCH(A104,Participants!$A$6:$A$205,0)),"")</f>
        <v/>
      </c>
    </row>
    <row r="105" customFormat="false" ht="1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25" t="str">
        <f aca="false">IFERROR(INDEX(Participants!$T$6:$T$205,MATCH(A105,Participants!$A$6:$A$205,0)),"")</f>
        <v/>
      </c>
    </row>
    <row r="106" customFormat="false" ht="1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25" t="str">
        <f aca="false">IFERROR(INDEX(Participants!$T$6:$T$205,MATCH(A106,Participants!$A$6:$A$205,0)),"")</f>
        <v/>
      </c>
    </row>
    <row r="107" customFormat="false" ht="1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25" t="str">
        <f aca="false">IFERROR(INDEX(Participants!$T$6:$T$205,MATCH(A107,Participants!$A$6:$A$205,0)),"")</f>
        <v/>
      </c>
    </row>
    <row r="108" customFormat="false" ht="1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25" t="str">
        <f aca="false">IFERROR(INDEX(Participants!$T$6:$T$205,MATCH(A108,Participants!$A$6:$A$205,0)),"")</f>
        <v/>
      </c>
    </row>
    <row r="109" customFormat="false" ht="1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25" t="str">
        <f aca="false">IFERROR(INDEX(Participants!$T$6:$T$205,MATCH(A109,Participants!$A$6:$A$205,0)),"")</f>
        <v/>
      </c>
    </row>
    <row r="110" customFormat="false" ht="1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25" t="str">
        <f aca="false">IFERROR(INDEX(Participants!$T$6:$T$205,MATCH(A110,Participants!$A$6:$A$205,0)),"")</f>
        <v/>
      </c>
    </row>
    <row r="111" customFormat="false" ht="1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25" t="str">
        <f aca="false">IFERROR(INDEX(Participants!$T$6:$T$205,MATCH(A111,Participants!$A$6:$A$205,0)),"")</f>
        <v/>
      </c>
    </row>
    <row r="112" customFormat="false" ht="1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25" t="str">
        <f aca="false">IFERROR(INDEX(Participants!$T$6:$T$205,MATCH(A112,Participants!$A$6:$A$205,0)),"")</f>
        <v/>
      </c>
    </row>
    <row r="113" customFormat="false" ht="1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25" t="str">
        <f aca="false">IFERROR(INDEX(Participants!$T$6:$T$205,MATCH(A113,Participants!$A$6:$A$205,0)),"")</f>
        <v/>
      </c>
    </row>
    <row r="114" customFormat="false" ht="1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25" t="str">
        <f aca="false">IFERROR(INDEX(Participants!$T$6:$T$205,MATCH(A114,Participants!$A$6:$A$205,0)),"")</f>
        <v/>
      </c>
    </row>
    <row r="115" customFormat="false" ht="1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25" t="str">
        <f aca="false">IFERROR(INDEX(Participants!$T$6:$T$205,MATCH(A115,Participants!$A$6:$A$205,0)),"")</f>
        <v/>
      </c>
    </row>
    <row r="116" customFormat="false" ht="1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25" t="str">
        <f aca="false">IFERROR(INDEX(Participants!$T$6:$T$205,MATCH(A116,Participants!$A$6:$A$205,0)),"")</f>
        <v/>
      </c>
    </row>
    <row r="117" customFormat="false" ht="1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25" t="str">
        <f aca="false">IFERROR(INDEX(Participants!$T$6:$T$205,MATCH(A117,Participants!$A$6:$A$205,0)),"")</f>
        <v/>
      </c>
    </row>
    <row r="118" customFormat="false" ht="1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25" t="str">
        <f aca="false">IFERROR(INDEX(Participants!$T$6:$T$205,MATCH(A118,Participants!$A$6:$A$205,0)),"")</f>
        <v/>
      </c>
    </row>
    <row r="119" customFormat="false" ht="1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25" t="str">
        <f aca="false">IFERROR(INDEX(Participants!$T$6:$T$205,MATCH(A119,Participants!$A$6:$A$205,0)),"")</f>
        <v/>
      </c>
    </row>
    <row r="120" customFormat="false" ht="1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25" t="str">
        <f aca="false">IFERROR(INDEX(Participants!$T$6:$T$205,MATCH(A120,Participants!$A$6:$A$205,0)),"")</f>
        <v/>
      </c>
    </row>
    <row r="121" customFormat="false" ht="1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25" t="str">
        <f aca="false">IFERROR(INDEX(Participants!$T$6:$T$205,MATCH(A121,Participants!$A$6:$A$205,0)),"")</f>
        <v/>
      </c>
    </row>
    <row r="122" customFormat="false" ht="1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25" t="str">
        <f aca="false">IFERROR(INDEX(Participants!$T$6:$T$205,MATCH(A122,Participants!$A$6:$A$205,0)),"")</f>
        <v/>
      </c>
    </row>
    <row r="123" customFormat="false" ht="1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25" t="str">
        <f aca="false">IFERROR(INDEX(Participants!$T$6:$T$205,MATCH(A123,Participants!$A$6:$A$205,0)),"")</f>
        <v/>
      </c>
    </row>
    <row r="124" customFormat="false" ht="1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25" t="str">
        <f aca="false">IFERROR(INDEX(Participants!$T$6:$T$205,MATCH(A124,Participants!$A$6:$A$205,0)),"")</f>
        <v/>
      </c>
    </row>
    <row r="125" customFormat="false" ht="1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25" t="str">
        <f aca="false">IFERROR(INDEX(Participants!$T$6:$T$205,MATCH(A125,Participants!$A$6:$A$205,0)),"")</f>
        <v/>
      </c>
    </row>
    <row r="126" customFormat="false" ht="1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25" t="str">
        <f aca="false">IFERROR(INDEX(Participants!$T$6:$T$205,MATCH(A126,Participants!$A$6:$A$205,0)),"")</f>
        <v/>
      </c>
    </row>
    <row r="127" customFormat="false" ht="1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25" t="str">
        <f aca="false">IFERROR(INDEX(Participants!$T$6:$T$205,MATCH(A127,Participants!$A$6:$A$205,0)),"")</f>
        <v/>
      </c>
    </row>
    <row r="128" customFormat="false" ht="1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25" t="str">
        <f aca="false">IFERROR(INDEX(Participants!$T$6:$T$205,MATCH(A128,Participants!$A$6:$A$205,0)),"")</f>
        <v/>
      </c>
    </row>
    <row r="129" customFormat="false" ht="1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25" t="str">
        <f aca="false">IFERROR(INDEX(Participants!$T$6:$T$205,MATCH(A129,Participants!$A$6:$A$205,0)),"")</f>
        <v/>
      </c>
    </row>
    <row r="130" customFormat="false" ht="1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25" t="str">
        <f aca="false">IFERROR(INDEX(Participants!$T$6:$T$205,MATCH(A130,Participants!$A$6:$A$205,0)),"")</f>
        <v/>
      </c>
    </row>
    <row r="131" customFormat="false" ht="1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25" t="str">
        <f aca="false">IFERROR(INDEX(Participants!$T$6:$T$205,MATCH(A131,Participants!$A$6:$A$205,0)),"")</f>
        <v/>
      </c>
    </row>
    <row r="132" customFormat="false" ht="1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25" t="str">
        <f aca="false">IFERROR(INDEX(Participants!$T$6:$T$205,MATCH(A132,Participants!$A$6:$A$205,0)),"")</f>
        <v/>
      </c>
    </row>
    <row r="133" customFormat="false" ht="1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25" t="str">
        <f aca="false">IFERROR(INDEX(Participants!$T$6:$T$205,MATCH(A133,Participants!$A$6:$A$205,0)),"")</f>
        <v/>
      </c>
    </row>
    <row r="134" customFormat="false" ht="1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25" t="str">
        <f aca="false">IFERROR(INDEX(Participants!$T$6:$T$205,MATCH(A134,Participants!$A$6:$A$205,0)),"")</f>
        <v/>
      </c>
    </row>
    <row r="135" customFormat="false" ht="1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25" t="str">
        <f aca="false">IFERROR(INDEX(Participants!$T$6:$T$205,MATCH(A135,Participants!$A$6:$A$205,0)),"")</f>
        <v/>
      </c>
    </row>
    <row r="136" customFormat="false" ht="1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25" t="str">
        <f aca="false">IFERROR(INDEX(Participants!$T$6:$T$205,MATCH(A136,Participants!$A$6:$A$205,0)),"")</f>
        <v/>
      </c>
    </row>
    <row r="137" customFormat="false" ht="1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25" t="str">
        <f aca="false">IFERROR(INDEX(Participants!$T$6:$T$205,MATCH(A137,Participants!$A$6:$A$205,0)),"")</f>
        <v/>
      </c>
    </row>
    <row r="138" customFormat="false" ht="1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25" t="str">
        <f aca="false">IFERROR(INDEX(Participants!$T$6:$T$205,MATCH(A138,Participants!$A$6:$A$205,0)),"")</f>
        <v/>
      </c>
    </row>
    <row r="139" customFormat="false" ht="1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25" t="str">
        <f aca="false">IFERROR(INDEX(Participants!$T$6:$T$205,MATCH(A139,Participants!$A$6:$A$205,0)),"")</f>
        <v/>
      </c>
    </row>
    <row r="140" customFormat="false" ht="1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25" t="str">
        <f aca="false">IFERROR(INDEX(Participants!$T$6:$T$205,MATCH(A140,Participants!$A$6:$A$205,0)),"")</f>
        <v/>
      </c>
    </row>
    <row r="141" customFormat="false" ht="1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25" t="str">
        <f aca="false">IFERROR(INDEX(Participants!$T$6:$T$205,MATCH(A141,Participants!$A$6:$A$205,0)),"")</f>
        <v/>
      </c>
    </row>
    <row r="142" customFormat="false" ht="1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25" t="str">
        <f aca="false">IFERROR(INDEX(Participants!$T$6:$T$205,MATCH(A142,Participants!$A$6:$A$205,0)),"")</f>
        <v/>
      </c>
    </row>
    <row r="143" customFormat="false" ht="1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25" t="str">
        <f aca="false">IFERROR(INDEX(Participants!$T$6:$T$205,MATCH(A143,Participants!$A$6:$A$205,0)),"")</f>
        <v/>
      </c>
    </row>
    <row r="144" customFormat="false" ht="1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25" t="str">
        <f aca="false">IFERROR(INDEX(Participants!$T$6:$T$205,MATCH(A144,Participants!$A$6:$A$205,0)),"")</f>
        <v/>
      </c>
    </row>
    <row r="145" customFormat="false" ht="1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25" t="str">
        <f aca="false">IFERROR(INDEX(Participants!$T$6:$T$205,MATCH(A145,Participants!$A$6:$A$205,0)),"")</f>
        <v/>
      </c>
    </row>
    <row r="146" customFormat="false" ht="1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25" t="str">
        <f aca="false">IFERROR(INDEX(Participants!$T$6:$T$205,MATCH(A146,Participants!$A$6:$A$205,0)),"")</f>
        <v/>
      </c>
    </row>
    <row r="147" customFormat="false" ht="1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25" t="str">
        <f aca="false">IFERROR(INDEX(Participants!$T$6:$T$205,MATCH(A147,Participants!$A$6:$A$205,0)),"")</f>
        <v/>
      </c>
    </row>
    <row r="148" customFormat="false" ht="1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25" t="str">
        <f aca="false">IFERROR(INDEX(Participants!$T$6:$T$205,MATCH(A148,Participants!$A$6:$A$205,0)),"")</f>
        <v/>
      </c>
    </row>
    <row r="149" customFormat="false" ht="1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25" t="str">
        <f aca="false">IFERROR(INDEX(Participants!$T$6:$T$205,MATCH(A149,Participants!$A$6:$A$205,0)),"")</f>
        <v/>
      </c>
    </row>
    <row r="150" customFormat="false" ht="1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25" t="str">
        <f aca="false">IFERROR(INDEX(Participants!$T$6:$T$205,MATCH(A150,Participants!$A$6:$A$205,0)),"")</f>
        <v/>
      </c>
    </row>
    <row r="151" customFormat="false" ht="1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25" t="str">
        <f aca="false">IFERROR(INDEX(Participants!$T$6:$T$205,MATCH(A151,Participants!$A$6:$A$205,0)),"")</f>
        <v/>
      </c>
    </row>
    <row r="152" customFormat="false" ht="1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25" t="str">
        <f aca="false">IFERROR(INDEX(Participants!$T$6:$T$205,MATCH(A152,Participants!$A$6:$A$205,0)),"")</f>
        <v/>
      </c>
    </row>
    <row r="153" customFormat="false" ht="1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25" t="str">
        <f aca="false">IFERROR(INDEX(Participants!$T$6:$T$205,MATCH(A153,Participants!$A$6:$A$205,0)),"")</f>
        <v/>
      </c>
    </row>
    <row r="154" customFormat="false" ht="1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25" t="str">
        <f aca="false">IFERROR(INDEX(Participants!$T$6:$T$205,MATCH(A154,Participants!$A$6:$A$205,0)),"")</f>
        <v/>
      </c>
    </row>
    <row r="155" customFormat="false" ht="1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25" t="str">
        <f aca="false">IFERROR(INDEX(Participants!$T$6:$T$205,MATCH(A155,Participants!$A$6:$A$205,0)),"")</f>
        <v/>
      </c>
    </row>
    <row r="156" customFormat="false" ht="1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25" t="str">
        <f aca="false">IFERROR(INDEX(Participants!$T$6:$T$205,MATCH(A156,Participants!$A$6:$A$205,0)),"")</f>
        <v/>
      </c>
    </row>
    <row r="157" customFormat="false" ht="1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25" t="str">
        <f aca="false">IFERROR(INDEX(Participants!$T$6:$T$205,MATCH(A157,Participants!$A$6:$A$205,0)),"")</f>
        <v/>
      </c>
    </row>
    <row r="158" customFormat="false" ht="1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25" t="str">
        <f aca="false">IFERROR(INDEX(Participants!$T$6:$T$205,MATCH(A158,Participants!$A$6:$A$205,0)),"")</f>
        <v/>
      </c>
    </row>
    <row r="159" customFormat="false" ht="1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25" t="str">
        <f aca="false">IFERROR(INDEX(Participants!$T$6:$T$205,MATCH(A159,Participants!$A$6:$A$205,0)),"")</f>
        <v/>
      </c>
    </row>
    <row r="160" customFormat="false" ht="1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25" t="str">
        <f aca="false">IFERROR(INDEX(Participants!$T$6:$T$205,MATCH(A160,Participants!$A$6:$A$205,0)),"")</f>
        <v/>
      </c>
    </row>
    <row r="161" customFormat="false" ht="1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25" t="str">
        <f aca="false">IFERROR(INDEX(Participants!$T$6:$T$205,MATCH(A161,Participants!$A$6:$A$205,0)),"")</f>
        <v/>
      </c>
    </row>
    <row r="162" customFormat="false" ht="1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25" t="str">
        <f aca="false">IFERROR(INDEX(Participants!$T$6:$T$205,MATCH(A162,Participants!$A$6:$A$205,0)),"")</f>
        <v/>
      </c>
    </row>
    <row r="163" customFormat="false" ht="1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25" t="str">
        <f aca="false">IFERROR(INDEX(Participants!$T$6:$T$205,MATCH(A163,Participants!$A$6:$A$205,0)),"")</f>
        <v/>
      </c>
    </row>
    <row r="164" customFormat="false" ht="1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25" t="str">
        <f aca="false">IFERROR(INDEX(Participants!$T$6:$T$205,MATCH(A164,Participants!$A$6:$A$205,0)),"")</f>
        <v/>
      </c>
    </row>
    <row r="165" customFormat="false" ht="1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25" t="str">
        <f aca="false">IFERROR(INDEX(Participants!$T$6:$T$205,MATCH(A165,Participants!$A$6:$A$205,0)),"")</f>
        <v/>
      </c>
    </row>
    <row r="166" customFormat="false" ht="1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25" t="str">
        <f aca="false">IFERROR(INDEX(Participants!$T$6:$T$205,MATCH(A166,Participants!$A$6:$A$205,0)),"")</f>
        <v/>
      </c>
    </row>
    <row r="167" customFormat="false" ht="1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25" t="str">
        <f aca="false">IFERROR(INDEX(Participants!$T$6:$T$205,MATCH(A167,Participants!$A$6:$A$205,0)),"")</f>
        <v/>
      </c>
    </row>
    <row r="168" customFormat="false" ht="1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25" t="str">
        <f aca="false">IFERROR(INDEX(Participants!$T$6:$T$205,MATCH(A168,Participants!$A$6:$A$205,0)),"")</f>
        <v/>
      </c>
    </row>
    <row r="169" customFormat="false" ht="1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25" t="str">
        <f aca="false">IFERROR(INDEX(Participants!$T$6:$T$205,MATCH(A169,Participants!$A$6:$A$205,0)),"")</f>
        <v/>
      </c>
    </row>
    <row r="170" customFormat="false" ht="1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25" t="str">
        <f aca="false">IFERROR(INDEX(Participants!$T$6:$T$205,MATCH(A170,Participants!$A$6:$A$205,0)),"")</f>
        <v/>
      </c>
    </row>
    <row r="171" customFormat="false" ht="1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25" t="str">
        <f aca="false">IFERROR(INDEX(Participants!$T$6:$T$205,MATCH(A171,Participants!$A$6:$A$205,0)),"")</f>
        <v/>
      </c>
    </row>
    <row r="172" customFormat="false" ht="1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25" t="str">
        <f aca="false">IFERROR(INDEX(Participants!$T$6:$T$205,MATCH(A172,Participants!$A$6:$A$205,0)),"")</f>
        <v/>
      </c>
    </row>
    <row r="173" customFormat="false" ht="1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25" t="str">
        <f aca="false">IFERROR(INDEX(Participants!$T$6:$T$205,MATCH(A173,Participants!$A$6:$A$205,0)),"")</f>
        <v/>
      </c>
    </row>
    <row r="174" customFormat="false" ht="1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25" t="str">
        <f aca="false">IFERROR(INDEX(Participants!$T$6:$T$205,MATCH(A174,Participants!$A$6:$A$205,0)),"")</f>
        <v/>
      </c>
    </row>
    <row r="175" customFormat="false" ht="1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25" t="str">
        <f aca="false">IFERROR(INDEX(Participants!$T$6:$T$205,MATCH(A175,Participants!$A$6:$A$205,0)),"")</f>
        <v/>
      </c>
    </row>
    <row r="176" customFormat="false" ht="1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25" t="str">
        <f aca="false">IFERROR(INDEX(Participants!$T$6:$T$205,MATCH(A176,Participants!$A$6:$A$205,0)),"")</f>
        <v/>
      </c>
    </row>
    <row r="177" customFormat="false" ht="1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25" t="str">
        <f aca="false">IFERROR(INDEX(Participants!$T$6:$T$205,MATCH(A177,Participants!$A$6:$A$205,0)),"")</f>
        <v/>
      </c>
    </row>
    <row r="178" customFormat="false" ht="1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25" t="str">
        <f aca="false">IFERROR(INDEX(Participants!$T$6:$T$205,MATCH(A178,Participants!$A$6:$A$205,0)),"")</f>
        <v/>
      </c>
    </row>
    <row r="179" customFormat="false" ht="1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25" t="str">
        <f aca="false">IFERROR(INDEX(Participants!$T$6:$T$205,MATCH(A179,Participants!$A$6:$A$205,0)),"")</f>
        <v/>
      </c>
    </row>
    <row r="180" customFormat="false" ht="1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25" t="str">
        <f aca="false">IFERROR(INDEX(Participants!$T$6:$T$205,MATCH(A180,Participants!$A$6:$A$205,0)),"")</f>
        <v/>
      </c>
    </row>
    <row r="181" customFormat="false" ht="1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25" t="str">
        <f aca="false">IFERROR(INDEX(Participants!$T$6:$T$205,MATCH(A181,Participants!$A$6:$A$205,0)),"")</f>
        <v/>
      </c>
    </row>
    <row r="182" customFormat="false" ht="1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25" t="str">
        <f aca="false">IFERROR(INDEX(Participants!$T$6:$T$205,MATCH(A182,Participants!$A$6:$A$205,0)),"")</f>
        <v/>
      </c>
    </row>
    <row r="183" customFormat="false" ht="1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25" t="str">
        <f aca="false">IFERROR(INDEX(Participants!$T$6:$T$205,MATCH(A183,Participants!$A$6:$A$205,0)),"")</f>
        <v/>
      </c>
    </row>
    <row r="184" customFormat="false" ht="1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25" t="str">
        <f aca="false">IFERROR(INDEX(Participants!$T$6:$T$205,MATCH(A184,Participants!$A$6:$A$205,0)),"")</f>
        <v/>
      </c>
    </row>
    <row r="185" customFormat="false" ht="1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25" t="str">
        <f aca="false">IFERROR(INDEX(Participants!$T$6:$T$205,MATCH(A185,Participants!$A$6:$A$205,0)),"")</f>
        <v/>
      </c>
    </row>
    <row r="186" customFormat="false" ht="1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25" t="str">
        <f aca="false">IFERROR(INDEX(Participants!$T$6:$T$205,MATCH(A186,Participants!$A$6:$A$205,0)),"")</f>
        <v/>
      </c>
    </row>
    <row r="187" customFormat="false" ht="1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25" t="str">
        <f aca="false">IFERROR(INDEX(Participants!$T$6:$T$205,MATCH(A187,Participants!$A$6:$A$205,0)),"")</f>
        <v/>
      </c>
    </row>
    <row r="188" customFormat="false" ht="1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25" t="str">
        <f aca="false">IFERROR(INDEX(Participants!$T$6:$T$205,MATCH(A188,Participants!$A$6:$A$205,0)),"")</f>
        <v/>
      </c>
    </row>
    <row r="189" customFormat="false" ht="1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25" t="str">
        <f aca="false">IFERROR(INDEX(Participants!$T$6:$T$205,MATCH(A189,Participants!$A$6:$A$205,0)),"")</f>
        <v/>
      </c>
    </row>
    <row r="190" customFormat="false" ht="1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25" t="str">
        <f aca="false">IFERROR(INDEX(Participants!$T$6:$T$205,MATCH(A190,Participants!$A$6:$A$205,0)),"")</f>
        <v/>
      </c>
    </row>
    <row r="191" customFormat="false" ht="1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25" t="str">
        <f aca="false">IFERROR(INDEX(Participants!$T$6:$T$205,MATCH(A191,Participants!$A$6:$A$205,0)),"")</f>
        <v/>
      </c>
    </row>
    <row r="192" customFormat="false" ht="1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25" t="str">
        <f aca="false">IFERROR(INDEX(Participants!$T$6:$T$205,MATCH(A192,Participants!$A$6:$A$205,0)),"")</f>
        <v/>
      </c>
    </row>
    <row r="193" customFormat="false" ht="1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25" t="str">
        <f aca="false">IFERROR(INDEX(Participants!$T$6:$T$205,MATCH(A193,Participants!$A$6:$A$205,0)),"")</f>
        <v/>
      </c>
    </row>
    <row r="194" customFormat="false" ht="1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25" t="str">
        <f aca="false">IFERROR(INDEX(Participants!$T$6:$T$205,MATCH(A194,Participants!$A$6:$A$205,0)),"")</f>
        <v/>
      </c>
    </row>
    <row r="195" customFormat="false" ht="1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25" t="str">
        <f aca="false">IFERROR(INDEX(Participants!$T$6:$T$205,MATCH(A195,Participants!$A$6:$A$205,0)),"")</f>
        <v/>
      </c>
    </row>
    <row r="196" customFormat="false" ht="1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25" t="str">
        <f aca="false">IFERROR(INDEX(Participants!$T$6:$T$205,MATCH(A196,Participants!$A$6:$A$205,0)),"")</f>
        <v/>
      </c>
    </row>
    <row r="197" customFormat="false" ht="1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25" t="str">
        <f aca="false">IFERROR(INDEX(Participants!$T$6:$T$205,MATCH(A197,Participants!$A$6:$A$205,0)),"")</f>
        <v/>
      </c>
    </row>
    <row r="198" customFormat="false" ht="1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25" t="str">
        <f aca="false">IFERROR(INDEX(Participants!$T$6:$T$205,MATCH(A198,Participants!$A$6:$A$205,0)),"")</f>
        <v/>
      </c>
    </row>
    <row r="199" customFormat="false" ht="1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25" t="str">
        <f aca="false">IFERROR(INDEX(Participants!$T$6:$T$205,MATCH(A199,Participants!$A$6:$A$205,0)),"")</f>
        <v/>
      </c>
    </row>
    <row r="200" customFormat="false" ht="1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25" t="str">
        <f aca="false">IFERROR(INDEX(Participants!$T$6:$T$205,MATCH(A200,Participants!$A$6:$A$205,0)),"")</f>
        <v/>
      </c>
    </row>
    <row r="201" customFormat="false" ht="1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25" t="str">
        <f aca="false">IFERROR(INDEX(Participants!$T$6:$T$205,MATCH(A201,Participants!$A$6:$A$205,0)),"")</f>
        <v/>
      </c>
    </row>
    <row r="202" customFormat="false" ht="1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25" t="str">
        <f aca="false">IFERROR(INDEX(Participants!$T$6:$T$205,MATCH(A202,Participants!$A$6:$A$205,0)),"")</f>
        <v/>
      </c>
    </row>
    <row r="203" customFormat="false" ht="1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25" t="str">
        <f aca="false">IFERROR(INDEX(Participants!$T$6:$T$205,MATCH(A203,Participants!$A$6:$A$205,0)),"")</f>
        <v/>
      </c>
    </row>
    <row r="204" customFormat="false" ht="1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25" t="str">
        <f aca="false">IFERROR(INDEX(Participants!$T$6:$T$205,MATCH(A204,Participants!$A$6:$A$205,0)),"")</f>
        <v/>
      </c>
    </row>
    <row r="205" customFormat="false" ht="1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25" t="str">
        <f aca="false">IFERROR(INDEX(Participants!$T$6:$T$205,MATCH(A205,Participants!$A$6:$A$205,0)),"")</f>
        <v/>
      </c>
    </row>
  </sheetData>
  <dataValidations count="6">
    <dataValidation allowBlank="true" errorStyle="stop" operator="between" showDropDown="false" showErrorMessage="false" showInputMessage="false" sqref="B6:B205" type="list">
      <formula1>"personalised,generic"</formula1>
      <formula2>0</formula2>
    </dataValidation>
    <dataValidation allowBlank="true" errorStyle="stop" operator="between" showDropDown="false" showErrorMessage="false" showInputMessage="false" sqref="C6:C205" type="list">
      <formula1>"all,part,none"</formula1>
      <formula2>0</formula2>
    </dataValidation>
    <dataValidation allowBlank="true" errorStyle="stop" operator="between" showDropDown="false" showErrorMessage="false" showInputMessage="false" sqref="E6:E205" type="list">
      <formula1>"yes,maybe,no"</formula1>
      <formula2>0</formula2>
    </dataValidation>
    <dataValidation allowBlank="true" errorStyle="stop" operator="between" showDropDown="false" showErrorMessage="false" showInputMessage="false" sqref="F6:F205" type="list">
      <formula1>"Y,N"</formula1>
      <formula2>0</formula2>
    </dataValidation>
    <dataValidation allowBlank="true" errorStyle="stop" operator="between" showDropDown="false" showErrorMessage="false" showInputMessage="false" sqref="G6:I205" type="whole">
      <formula1>0</formula1>
      <formula2>100</formula2>
    </dataValidation>
    <dataValidation allowBlank="true" errorStyle="stop" operator="between" showDropDown="false" showErrorMessage="false" showInputMessage="false" sqref="J6:J20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36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9" min="8" style="1" width="12"/>
    <col collapsed="false" customWidth="true" hidden="false" outlineLevel="0" max="10" min="10" style="1" width="30"/>
    <col collapsed="false" customWidth="true" hidden="false" outlineLevel="0" max="11" min="11" style="1" width="16"/>
    <col collapsed="false" customWidth="true" hidden="false" outlineLevel="0" max="12" min="12" style="1" width="12"/>
  </cols>
  <sheetData>
    <row r="1" customFormat="false" ht="17.25" hidden="false" customHeight="true" outlineLevel="0" collapsed="false">
      <c r="A1" s="6" t="s">
        <v>202</v>
      </c>
    </row>
    <row r="2" customFormat="false" ht="15" hidden="false" customHeight="true" outlineLevel="0" collapsed="false">
      <c r="A2" s="7" t="s">
        <v>203</v>
      </c>
    </row>
    <row r="3" customFormat="false" ht="15" hidden="false" customHeight="true" outlineLevel="0" collapsed="false">
      <c r="A3" s="21" t="s">
        <v>89</v>
      </c>
    </row>
    <row r="4" customFormat="false" ht="15" hidden="false" customHeight="true" outlineLevel="0" collapsed="false">
      <c r="A4" s="22" t="s">
        <v>90</v>
      </c>
      <c r="B4" s="22" t="s">
        <v>189</v>
      </c>
      <c r="C4" s="22" t="n">
        <v>2</v>
      </c>
      <c r="D4" s="22" t="s">
        <v>204</v>
      </c>
      <c r="E4" s="22" t="s">
        <v>205</v>
      </c>
      <c r="F4" s="22" t="n">
        <v>5</v>
      </c>
      <c r="G4" s="22" t="s">
        <v>206</v>
      </c>
      <c r="H4" s="22" t="n">
        <v>12</v>
      </c>
      <c r="I4" s="22" t="s">
        <v>95</v>
      </c>
      <c r="J4" s="22"/>
    </row>
    <row r="5" customFormat="false" ht="42" hidden="false" customHeight="true" outlineLevel="0" collapsed="false">
      <c r="A5" s="23" t="s">
        <v>161</v>
      </c>
      <c r="B5" s="23" t="s">
        <v>207</v>
      </c>
      <c r="C5" s="23" t="s">
        <v>208</v>
      </c>
      <c r="D5" s="23" t="s">
        <v>209</v>
      </c>
      <c r="E5" s="23" t="s">
        <v>210</v>
      </c>
      <c r="F5" s="23" t="s">
        <v>211</v>
      </c>
      <c r="G5" s="23" t="s">
        <v>212</v>
      </c>
      <c r="H5" s="23" t="s">
        <v>213</v>
      </c>
      <c r="I5" s="23" t="s">
        <v>214</v>
      </c>
      <c r="J5" s="23" t="s">
        <v>215</v>
      </c>
      <c r="K5" s="24" t="s">
        <v>179</v>
      </c>
      <c r="L5" s="24" t="s">
        <v>216</v>
      </c>
    </row>
    <row r="6" customFormat="false" ht="15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25" t="str">
        <f aca="false">IFERROR(INDEX(Participants!$T$6:$T$205,MATCH(A6,Participants!$A$6:$A$205,0)),"")</f>
        <v/>
      </c>
      <c r="L6" s="25" t="str">
        <f aca="false">IF(AND(K6="stranger",ISNUMBER(F6)),F6,"")</f>
        <v/>
      </c>
    </row>
    <row r="7" customFormat="false" ht="15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25" t="str">
        <f aca="false">IFERROR(INDEX(Participants!$T$6:$T$205,MATCH(A7,Participants!$A$6:$A$205,0)),"")</f>
        <v/>
      </c>
      <c r="L7" s="25" t="str">
        <f aca="false">IF(AND(K7="stranger",ISNUMBER(F7)),F7,"")</f>
        <v/>
      </c>
    </row>
    <row r="8" customFormat="false" ht="15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25" t="str">
        <f aca="false">IFERROR(INDEX(Participants!$T$6:$T$205,MATCH(A8,Participants!$A$6:$A$205,0)),"")</f>
        <v/>
      </c>
      <c r="L8" s="25" t="str">
        <f aca="false">IF(AND(K8="stranger",ISNUMBER(F8)),F8,"")</f>
        <v/>
      </c>
    </row>
    <row r="9" customFormat="false" ht="15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25" t="str">
        <f aca="false">IFERROR(INDEX(Participants!$T$6:$T$205,MATCH(A9,Participants!$A$6:$A$205,0)),"")</f>
        <v/>
      </c>
      <c r="L9" s="25" t="str">
        <f aca="false">IF(AND(K9="stranger",ISNUMBER(F9)),F9,"")</f>
        <v/>
      </c>
    </row>
    <row r="10" customFormat="false" ht="1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25" t="str">
        <f aca="false">IFERROR(INDEX(Participants!$T$6:$T$205,MATCH(A10,Participants!$A$6:$A$205,0)),"")</f>
        <v/>
      </c>
      <c r="L10" s="25" t="str">
        <f aca="false">IF(AND(K10="stranger",ISNUMBER(F10)),F10,"")</f>
        <v/>
      </c>
    </row>
    <row r="11" customFormat="false" ht="1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25" t="str">
        <f aca="false">IFERROR(INDEX(Participants!$T$6:$T$205,MATCH(A11,Participants!$A$6:$A$205,0)),"")</f>
        <v/>
      </c>
      <c r="L11" s="25" t="str">
        <f aca="false">IF(AND(K11="stranger",ISNUMBER(F11)),F11,"")</f>
        <v/>
      </c>
    </row>
    <row r="12" customFormat="false" ht="1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25" t="str">
        <f aca="false">IFERROR(INDEX(Participants!$T$6:$T$205,MATCH(A12,Participants!$A$6:$A$205,0)),"")</f>
        <v/>
      </c>
      <c r="L12" s="25" t="str">
        <f aca="false">IF(AND(K12="stranger",ISNUMBER(F12)),F12,"")</f>
        <v/>
      </c>
    </row>
    <row r="13" customFormat="false" ht="1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25" t="str">
        <f aca="false">IFERROR(INDEX(Participants!$T$6:$T$205,MATCH(A13,Participants!$A$6:$A$205,0)),"")</f>
        <v/>
      </c>
      <c r="L13" s="25" t="str">
        <f aca="false">IF(AND(K13="stranger",ISNUMBER(F13)),F13,"")</f>
        <v/>
      </c>
    </row>
    <row r="14" customFormat="false" ht="1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25" t="str">
        <f aca="false">IFERROR(INDEX(Participants!$T$6:$T$205,MATCH(A14,Participants!$A$6:$A$205,0)),"")</f>
        <v/>
      </c>
      <c r="L14" s="25" t="str">
        <f aca="false">IF(AND(K14="stranger",ISNUMBER(F14)),F14,"")</f>
        <v/>
      </c>
    </row>
    <row r="15" customFormat="false" ht="1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25" t="str">
        <f aca="false">IFERROR(INDEX(Participants!$T$6:$T$205,MATCH(A15,Participants!$A$6:$A$205,0)),"")</f>
        <v/>
      </c>
      <c r="L15" s="25" t="str">
        <f aca="false">IF(AND(K15="stranger",ISNUMBER(F15)),F15,"")</f>
        <v/>
      </c>
    </row>
    <row r="16" customFormat="false" ht="1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25" t="str">
        <f aca="false">IFERROR(INDEX(Participants!$T$6:$T$205,MATCH(A16,Participants!$A$6:$A$205,0)),"")</f>
        <v/>
      </c>
      <c r="L16" s="25" t="str">
        <f aca="false">IF(AND(K16="stranger",ISNUMBER(F16)),F16,"")</f>
        <v/>
      </c>
    </row>
    <row r="17" customFormat="false" ht="1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25" t="str">
        <f aca="false">IFERROR(INDEX(Participants!$T$6:$T$205,MATCH(A17,Participants!$A$6:$A$205,0)),"")</f>
        <v/>
      </c>
      <c r="L17" s="25" t="str">
        <f aca="false">IF(AND(K17="stranger",ISNUMBER(F17)),F17,"")</f>
        <v/>
      </c>
    </row>
    <row r="18" customFormat="false" ht="1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25" t="str">
        <f aca="false">IFERROR(INDEX(Participants!$T$6:$T$205,MATCH(A18,Participants!$A$6:$A$205,0)),"")</f>
        <v/>
      </c>
      <c r="L18" s="25" t="str">
        <f aca="false">IF(AND(K18="stranger",ISNUMBER(F18)),F18,"")</f>
        <v/>
      </c>
    </row>
    <row r="19" customFormat="false" ht="1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25" t="str">
        <f aca="false">IFERROR(INDEX(Participants!$T$6:$T$205,MATCH(A19,Participants!$A$6:$A$205,0)),"")</f>
        <v/>
      </c>
      <c r="L19" s="25" t="str">
        <f aca="false">IF(AND(K19="stranger",ISNUMBER(F19)),F19,"")</f>
        <v/>
      </c>
    </row>
    <row r="20" customFormat="false" ht="1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25" t="str">
        <f aca="false">IFERROR(INDEX(Participants!$T$6:$T$205,MATCH(A20,Participants!$A$6:$A$205,0)),"")</f>
        <v/>
      </c>
      <c r="L20" s="25" t="str">
        <f aca="false">IF(AND(K20="stranger",ISNUMBER(F20)),F20,"")</f>
        <v/>
      </c>
    </row>
    <row r="21" customFormat="false" ht="1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25" t="str">
        <f aca="false">IFERROR(INDEX(Participants!$T$6:$T$205,MATCH(A21,Participants!$A$6:$A$205,0)),"")</f>
        <v/>
      </c>
      <c r="L21" s="25" t="str">
        <f aca="false">IF(AND(K21="stranger",ISNUMBER(F21)),F21,"")</f>
        <v/>
      </c>
    </row>
    <row r="22" customFormat="false" ht="1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25" t="str">
        <f aca="false">IFERROR(INDEX(Participants!$T$6:$T$205,MATCH(A22,Participants!$A$6:$A$205,0)),"")</f>
        <v/>
      </c>
      <c r="L22" s="25" t="str">
        <f aca="false">IF(AND(K22="stranger",ISNUMBER(F22)),F22,"")</f>
        <v/>
      </c>
    </row>
    <row r="23" customFormat="false" ht="15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25" t="str">
        <f aca="false">IFERROR(INDEX(Participants!$T$6:$T$205,MATCH(A23,Participants!$A$6:$A$205,0)),"")</f>
        <v/>
      </c>
      <c r="L23" s="25" t="str">
        <f aca="false">IF(AND(K23="stranger",ISNUMBER(F23)),F23,"")</f>
        <v/>
      </c>
    </row>
    <row r="24" customFormat="false" ht="1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25" t="str">
        <f aca="false">IFERROR(INDEX(Participants!$T$6:$T$205,MATCH(A24,Participants!$A$6:$A$205,0)),"")</f>
        <v/>
      </c>
      <c r="L24" s="25" t="str">
        <f aca="false">IF(AND(K24="stranger",ISNUMBER(F24)),F24,"")</f>
        <v/>
      </c>
    </row>
    <row r="25" customFormat="false" ht="1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25" t="str">
        <f aca="false">IFERROR(INDEX(Participants!$T$6:$T$205,MATCH(A25,Participants!$A$6:$A$205,0)),"")</f>
        <v/>
      </c>
      <c r="L25" s="25" t="str">
        <f aca="false">IF(AND(K25="stranger",ISNUMBER(F25)),F25,"")</f>
        <v/>
      </c>
    </row>
    <row r="26" customFormat="false" ht="1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25" t="str">
        <f aca="false">IFERROR(INDEX(Participants!$T$6:$T$205,MATCH(A26,Participants!$A$6:$A$205,0)),"")</f>
        <v/>
      </c>
      <c r="L26" s="25" t="str">
        <f aca="false">IF(AND(K26="stranger",ISNUMBER(F26)),F26,"")</f>
        <v/>
      </c>
    </row>
    <row r="27" customFormat="false" ht="1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25" t="str">
        <f aca="false">IFERROR(INDEX(Participants!$T$6:$T$205,MATCH(A27,Participants!$A$6:$A$205,0)),"")</f>
        <v/>
      </c>
      <c r="L27" s="25" t="str">
        <f aca="false">IF(AND(K27="stranger",ISNUMBER(F27)),F27,"")</f>
        <v/>
      </c>
    </row>
    <row r="28" customFormat="false" ht="1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25" t="str">
        <f aca="false">IFERROR(INDEX(Participants!$T$6:$T$205,MATCH(A28,Participants!$A$6:$A$205,0)),"")</f>
        <v/>
      </c>
      <c r="L28" s="25" t="str">
        <f aca="false">IF(AND(K28="stranger",ISNUMBER(F28)),F28,"")</f>
        <v/>
      </c>
    </row>
    <row r="29" customFormat="false" ht="1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25" t="str">
        <f aca="false">IFERROR(INDEX(Participants!$T$6:$T$205,MATCH(A29,Participants!$A$6:$A$205,0)),"")</f>
        <v/>
      </c>
      <c r="L29" s="25" t="str">
        <f aca="false">IF(AND(K29="stranger",ISNUMBER(F29)),F29,"")</f>
        <v/>
      </c>
    </row>
    <row r="30" customFormat="false" ht="1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25" t="str">
        <f aca="false">IFERROR(INDEX(Participants!$T$6:$T$205,MATCH(A30,Participants!$A$6:$A$205,0)),"")</f>
        <v/>
      </c>
      <c r="L30" s="25" t="str">
        <f aca="false">IF(AND(K30="stranger",ISNUMBER(F30)),F30,"")</f>
        <v/>
      </c>
    </row>
    <row r="31" customFormat="false" ht="1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25" t="str">
        <f aca="false">IFERROR(INDEX(Participants!$T$6:$T$205,MATCH(A31,Participants!$A$6:$A$205,0)),"")</f>
        <v/>
      </c>
      <c r="L31" s="25" t="str">
        <f aca="false">IF(AND(K31="stranger",ISNUMBER(F31)),F31,"")</f>
        <v/>
      </c>
    </row>
    <row r="32" customFormat="false" ht="1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25" t="str">
        <f aca="false">IFERROR(INDEX(Participants!$T$6:$T$205,MATCH(A32,Participants!$A$6:$A$205,0)),"")</f>
        <v/>
      </c>
      <c r="L32" s="25" t="str">
        <f aca="false">IF(AND(K32="stranger",ISNUMBER(F32)),F32,"")</f>
        <v/>
      </c>
    </row>
    <row r="33" customFormat="false" ht="1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25" t="str">
        <f aca="false">IFERROR(INDEX(Participants!$T$6:$T$205,MATCH(A33,Participants!$A$6:$A$205,0)),"")</f>
        <v/>
      </c>
      <c r="L33" s="25" t="str">
        <f aca="false">IF(AND(K33="stranger",ISNUMBER(F33)),F33,"")</f>
        <v/>
      </c>
    </row>
    <row r="34" customFormat="false" ht="1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25" t="str">
        <f aca="false">IFERROR(INDEX(Participants!$T$6:$T$205,MATCH(A34,Participants!$A$6:$A$205,0)),"")</f>
        <v/>
      </c>
      <c r="L34" s="25" t="str">
        <f aca="false">IF(AND(K34="stranger",ISNUMBER(F34)),F34,"")</f>
        <v/>
      </c>
    </row>
    <row r="35" customFormat="false" ht="1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25" t="str">
        <f aca="false">IFERROR(INDEX(Participants!$T$6:$T$205,MATCH(A35,Participants!$A$6:$A$205,0)),"")</f>
        <v/>
      </c>
      <c r="L35" s="25" t="str">
        <f aca="false">IF(AND(K35="stranger",ISNUMBER(F35)),F35,"")</f>
        <v/>
      </c>
    </row>
    <row r="36" customFormat="false" ht="1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25" t="str">
        <f aca="false">IFERROR(INDEX(Participants!$T$6:$T$205,MATCH(A36,Participants!$A$6:$A$205,0)),"")</f>
        <v/>
      </c>
      <c r="L36" s="25" t="str">
        <f aca="false">IF(AND(K36="stranger",ISNUMBER(F36)),F36,"")</f>
        <v/>
      </c>
    </row>
    <row r="37" customFormat="false" ht="1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25" t="str">
        <f aca="false">IFERROR(INDEX(Participants!$T$6:$T$205,MATCH(A37,Participants!$A$6:$A$205,0)),"")</f>
        <v/>
      </c>
      <c r="L37" s="25" t="str">
        <f aca="false">IF(AND(K37="stranger",ISNUMBER(F37)),F37,"")</f>
        <v/>
      </c>
    </row>
    <row r="38" customFormat="false" ht="1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25" t="str">
        <f aca="false">IFERROR(INDEX(Participants!$T$6:$T$205,MATCH(A38,Participants!$A$6:$A$205,0)),"")</f>
        <v/>
      </c>
      <c r="L38" s="25" t="str">
        <f aca="false">IF(AND(K38="stranger",ISNUMBER(F38)),F38,"")</f>
        <v/>
      </c>
    </row>
    <row r="39" customFormat="false" ht="1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25" t="str">
        <f aca="false">IFERROR(INDEX(Participants!$T$6:$T$205,MATCH(A39,Participants!$A$6:$A$205,0)),"")</f>
        <v/>
      </c>
      <c r="L39" s="25" t="str">
        <f aca="false">IF(AND(K39="stranger",ISNUMBER(F39)),F39,"")</f>
        <v/>
      </c>
    </row>
    <row r="40" customFormat="false" ht="1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25" t="str">
        <f aca="false">IFERROR(INDEX(Participants!$T$6:$T$205,MATCH(A40,Participants!$A$6:$A$205,0)),"")</f>
        <v/>
      </c>
      <c r="L40" s="25" t="str">
        <f aca="false">IF(AND(K40="stranger",ISNUMBER(F40)),F40,"")</f>
        <v/>
      </c>
    </row>
    <row r="41" customFormat="false" ht="15" hidden="false" customHeight="tru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25" t="str">
        <f aca="false">IFERROR(INDEX(Participants!$T$6:$T$205,MATCH(A41,Participants!$A$6:$A$205,0)),"")</f>
        <v/>
      </c>
      <c r="L41" s="25" t="str">
        <f aca="false">IF(AND(K41="stranger",ISNUMBER(F41)),F41,"")</f>
        <v/>
      </c>
    </row>
    <row r="42" customFormat="false" ht="15" hidden="false" customHeight="tru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25" t="str">
        <f aca="false">IFERROR(INDEX(Participants!$T$6:$T$205,MATCH(A42,Participants!$A$6:$A$205,0)),"")</f>
        <v/>
      </c>
      <c r="L42" s="25" t="str">
        <f aca="false">IF(AND(K42="stranger",ISNUMBER(F42)),F42,"")</f>
        <v/>
      </c>
    </row>
    <row r="43" customFormat="false" ht="15" hidden="false" customHeight="tru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25" t="str">
        <f aca="false">IFERROR(INDEX(Participants!$T$6:$T$205,MATCH(A43,Participants!$A$6:$A$205,0)),"")</f>
        <v/>
      </c>
      <c r="L43" s="25" t="str">
        <f aca="false">IF(AND(K43="stranger",ISNUMBER(F43)),F43,"")</f>
        <v/>
      </c>
    </row>
    <row r="44" customFormat="false" ht="15" hidden="false" customHeight="tru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25" t="str">
        <f aca="false">IFERROR(INDEX(Participants!$T$6:$T$205,MATCH(A44,Participants!$A$6:$A$205,0)),"")</f>
        <v/>
      </c>
      <c r="L44" s="25" t="str">
        <f aca="false">IF(AND(K44="stranger",ISNUMBER(F44)),F44,"")</f>
        <v/>
      </c>
    </row>
    <row r="45" customFormat="false" ht="15" hidden="false" customHeight="tru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25" t="str">
        <f aca="false">IFERROR(INDEX(Participants!$T$6:$T$205,MATCH(A45,Participants!$A$6:$A$205,0)),"")</f>
        <v/>
      </c>
      <c r="L45" s="25" t="str">
        <f aca="false">IF(AND(K45="stranger",ISNUMBER(F45)),F45,"")</f>
        <v/>
      </c>
    </row>
    <row r="46" customFormat="false" ht="15" hidden="false" customHeight="tru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25" t="str">
        <f aca="false">IFERROR(INDEX(Participants!$T$6:$T$205,MATCH(A46,Participants!$A$6:$A$205,0)),"")</f>
        <v/>
      </c>
      <c r="L46" s="25" t="str">
        <f aca="false">IF(AND(K46="stranger",ISNUMBER(F46)),F46,"")</f>
        <v/>
      </c>
    </row>
    <row r="47" customFormat="false" ht="15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25" t="str">
        <f aca="false">IFERROR(INDEX(Participants!$T$6:$T$205,MATCH(A47,Participants!$A$6:$A$205,0)),"")</f>
        <v/>
      </c>
      <c r="L47" s="25" t="str">
        <f aca="false">IF(AND(K47="stranger",ISNUMBER(F47)),F47,"")</f>
        <v/>
      </c>
    </row>
    <row r="48" customFormat="false" ht="15" hidden="false" customHeight="tru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25" t="str">
        <f aca="false">IFERROR(INDEX(Participants!$T$6:$T$205,MATCH(A48,Participants!$A$6:$A$205,0)),"")</f>
        <v/>
      </c>
      <c r="L48" s="25" t="str">
        <f aca="false">IF(AND(K48="stranger",ISNUMBER(F48)),F48,"")</f>
        <v/>
      </c>
    </row>
    <row r="49" customFormat="false" ht="15" hidden="false" customHeight="tru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25" t="str">
        <f aca="false">IFERROR(INDEX(Participants!$T$6:$T$205,MATCH(A49,Participants!$A$6:$A$205,0)),"")</f>
        <v/>
      </c>
      <c r="L49" s="25" t="str">
        <f aca="false">IF(AND(K49="stranger",ISNUMBER(F49)),F49,"")</f>
        <v/>
      </c>
    </row>
    <row r="50" customFormat="false" ht="15" hidden="false" customHeight="tru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25" t="str">
        <f aca="false">IFERROR(INDEX(Participants!$T$6:$T$205,MATCH(A50,Participants!$A$6:$A$205,0)),"")</f>
        <v/>
      </c>
      <c r="L50" s="25" t="str">
        <f aca="false">IF(AND(K50="stranger",ISNUMBER(F50)),F50,"")</f>
        <v/>
      </c>
    </row>
    <row r="51" customFormat="false" ht="15" hidden="false" customHeight="tru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25" t="str">
        <f aca="false">IFERROR(INDEX(Participants!$T$6:$T$205,MATCH(A51,Participants!$A$6:$A$205,0)),"")</f>
        <v/>
      </c>
      <c r="L51" s="25" t="str">
        <f aca="false">IF(AND(K51="stranger",ISNUMBER(F51)),F51,"")</f>
        <v/>
      </c>
    </row>
    <row r="52" customFormat="false" ht="15" hidden="false" customHeight="tru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25" t="str">
        <f aca="false">IFERROR(INDEX(Participants!$T$6:$T$205,MATCH(A52,Participants!$A$6:$A$205,0)),"")</f>
        <v/>
      </c>
      <c r="L52" s="25" t="str">
        <f aca="false">IF(AND(K52="stranger",ISNUMBER(F52)),F52,"")</f>
        <v/>
      </c>
    </row>
    <row r="53" customFormat="false" ht="15" hidden="false" customHeight="tru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25" t="str">
        <f aca="false">IFERROR(INDEX(Participants!$T$6:$T$205,MATCH(A53,Participants!$A$6:$A$205,0)),"")</f>
        <v/>
      </c>
      <c r="L53" s="25" t="str">
        <f aca="false">IF(AND(K53="stranger",ISNUMBER(F53)),F53,"")</f>
        <v/>
      </c>
    </row>
    <row r="54" customFormat="false" ht="15" hidden="false" customHeight="tru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25" t="str">
        <f aca="false">IFERROR(INDEX(Participants!$T$6:$T$205,MATCH(A54,Participants!$A$6:$A$205,0)),"")</f>
        <v/>
      </c>
      <c r="L54" s="25" t="str">
        <f aca="false">IF(AND(K54="stranger",ISNUMBER(F54)),F54,"")</f>
        <v/>
      </c>
    </row>
    <row r="55" customFormat="false" ht="15" hidden="false" customHeight="tru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25" t="str">
        <f aca="false">IFERROR(INDEX(Participants!$T$6:$T$205,MATCH(A55,Participants!$A$6:$A$205,0)),"")</f>
        <v/>
      </c>
      <c r="L55" s="25" t="str">
        <f aca="false">IF(AND(K55="stranger",ISNUMBER(F55)),F55,"")</f>
        <v/>
      </c>
    </row>
    <row r="56" customFormat="false" ht="15" hidden="false" customHeight="tru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25" t="str">
        <f aca="false">IFERROR(INDEX(Participants!$T$6:$T$205,MATCH(A56,Participants!$A$6:$A$205,0)),"")</f>
        <v/>
      </c>
      <c r="L56" s="25" t="str">
        <f aca="false">IF(AND(K56="stranger",ISNUMBER(F56)),F56,"")</f>
        <v/>
      </c>
    </row>
    <row r="57" customFormat="false" ht="15" hidden="false" customHeight="tru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25" t="str">
        <f aca="false">IFERROR(INDEX(Participants!$T$6:$T$205,MATCH(A57,Participants!$A$6:$A$205,0)),"")</f>
        <v/>
      </c>
      <c r="L57" s="25" t="str">
        <f aca="false">IF(AND(K57="stranger",ISNUMBER(F57)),F57,"")</f>
        <v/>
      </c>
    </row>
    <row r="58" customFormat="false" ht="15" hidden="false" customHeight="tru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25" t="str">
        <f aca="false">IFERROR(INDEX(Participants!$T$6:$T$205,MATCH(A58,Participants!$A$6:$A$205,0)),"")</f>
        <v/>
      </c>
      <c r="L58" s="25" t="str">
        <f aca="false">IF(AND(K58="stranger",ISNUMBER(F58)),F58,"")</f>
        <v/>
      </c>
    </row>
    <row r="59" customFormat="false" ht="15" hidden="false" customHeight="tru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25" t="str">
        <f aca="false">IFERROR(INDEX(Participants!$T$6:$T$205,MATCH(A59,Participants!$A$6:$A$205,0)),"")</f>
        <v/>
      </c>
      <c r="L59" s="25" t="str">
        <f aca="false">IF(AND(K59="stranger",ISNUMBER(F59)),F59,"")</f>
        <v/>
      </c>
    </row>
    <row r="60" customFormat="false" ht="15" hidden="false" customHeight="tru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25" t="str">
        <f aca="false">IFERROR(INDEX(Participants!$T$6:$T$205,MATCH(A60,Participants!$A$6:$A$205,0)),"")</f>
        <v/>
      </c>
      <c r="L60" s="25" t="str">
        <f aca="false">IF(AND(K60="stranger",ISNUMBER(F60)),F60,"")</f>
        <v/>
      </c>
    </row>
    <row r="61" customFormat="false" ht="15" hidden="false" customHeight="tru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25" t="str">
        <f aca="false">IFERROR(INDEX(Participants!$T$6:$T$205,MATCH(A61,Participants!$A$6:$A$205,0)),"")</f>
        <v/>
      </c>
      <c r="L61" s="25" t="str">
        <f aca="false">IF(AND(K61="stranger",ISNUMBER(F61)),F61,"")</f>
        <v/>
      </c>
    </row>
    <row r="62" customFormat="false" ht="15" hidden="false" customHeight="tru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25" t="str">
        <f aca="false">IFERROR(INDEX(Participants!$T$6:$T$205,MATCH(A62,Participants!$A$6:$A$205,0)),"")</f>
        <v/>
      </c>
      <c r="L62" s="25" t="str">
        <f aca="false">IF(AND(K62="stranger",ISNUMBER(F62)),F62,"")</f>
        <v/>
      </c>
    </row>
    <row r="63" customFormat="false" ht="15" hidden="false" customHeight="tru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25" t="str">
        <f aca="false">IFERROR(INDEX(Participants!$T$6:$T$205,MATCH(A63,Participants!$A$6:$A$205,0)),"")</f>
        <v/>
      </c>
      <c r="L63" s="25" t="str">
        <f aca="false">IF(AND(K63="stranger",ISNUMBER(F63)),F63,"")</f>
        <v/>
      </c>
    </row>
    <row r="64" customFormat="false" ht="15" hidden="false" customHeight="tru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25" t="str">
        <f aca="false">IFERROR(INDEX(Participants!$T$6:$T$205,MATCH(A64,Participants!$A$6:$A$205,0)),"")</f>
        <v/>
      </c>
      <c r="L64" s="25" t="str">
        <f aca="false">IF(AND(K64="stranger",ISNUMBER(F64)),F64,"")</f>
        <v/>
      </c>
    </row>
    <row r="65" customFormat="false" ht="15" hidden="false" customHeight="tru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25" t="str">
        <f aca="false">IFERROR(INDEX(Participants!$T$6:$T$205,MATCH(A65,Participants!$A$6:$A$205,0)),"")</f>
        <v/>
      </c>
      <c r="L65" s="25" t="str">
        <f aca="false">IF(AND(K65="stranger",ISNUMBER(F65)),F65,"")</f>
        <v/>
      </c>
    </row>
    <row r="66" customFormat="false" ht="15" hidden="false" customHeight="tru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25" t="str">
        <f aca="false">IFERROR(INDEX(Participants!$T$6:$T$205,MATCH(A66,Participants!$A$6:$A$205,0)),"")</f>
        <v/>
      </c>
      <c r="L66" s="25" t="str">
        <f aca="false">IF(AND(K66="stranger",ISNUMBER(F66)),F66,"")</f>
        <v/>
      </c>
    </row>
    <row r="67" customFormat="false" ht="15" hidden="false" customHeight="tru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25" t="str">
        <f aca="false">IFERROR(INDEX(Participants!$T$6:$T$205,MATCH(A67,Participants!$A$6:$A$205,0)),"")</f>
        <v/>
      </c>
      <c r="L67" s="25" t="str">
        <f aca="false">IF(AND(K67="stranger",ISNUMBER(F67)),F67,"")</f>
        <v/>
      </c>
    </row>
    <row r="68" customFormat="false" ht="15" hidden="false" customHeight="tru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25" t="str">
        <f aca="false">IFERROR(INDEX(Participants!$T$6:$T$205,MATCH(A68,Participants!$A$6:$A$205,0)),"")</f>
        <v/>
      </c>
      <c r="L68" s="25" t="str">
        <f aca="false">IF(AND(K68="stranger",ISNUMBER(F68)),F68,"")</f>
        <v/>
      </c>
    </row>
    <row r="69" customFormat="false" ht="15" hidden="false" customHeight="tru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25" t="str">
        <f aca="false">IFERROR(INDEX(Participants!$T$6:$T$205,MATCH(A69,Participants!$A$6:$A$205,0)),"")</f>
        <v/>
      </c>
      <c r="L69" s="25" t="str">
        <f aca="false">IF(AND(K69="stranger",ISNUMBER(F69)),F69,"")</f>
        <v/>
      </c>
    </row>
    <row r="70" customFormat="false" ht="15" hidden="false" customHeight="tru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25" t="str">
        <f aca="false">IFERROR(INDEX(Participants!$T$6:$T$205,MATCH(A70,Participants!$A$6:$A$205,0)),"")</f>
        <v/>
      </c>
      <c r="L70" s="25" t="str">
        <f aca="false">IF(AND(K70="stranger",ISNUMBER(F70)),F70,"")</f>
        <v/>
      </c>
    </row>
    <row r="71" customFormat="false" ht="15" hidden="false" customHeight="tru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25" t="str">
        <f aca="false">IFERROR(INDEX(Participants!$T$6:$T$205,MATCH(A71,Participants!$A$6:$A$205,0)),"")</f>
        <v/>
      </c>
      <c r="L71" s="25" t="str">
        <f aca="false">IF(AND(K71="stranger",ISNUMBER(F71)),F71,"")</f>
        <v/>
      </c>
    </row>
    <row r="72" customFormat="false" ht="15" hidden="false" customHeight="tru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25" t="str">
        <f aca="false">IFERROR(INDEX(Participants!$T$6:$T$205,MATCH(A72,Participants!$A$6:$A$205,0)),"")</f>
        <v/>
      </c>
      <c r="L72" s="25" t="str">
        <f aca="false">IF(AND(K72="stranger",ISNUMBER(F72)),F72,"")</f>
        <v/>
      </c>
    </row>
    <row r="73" customFormat="false" ht="15" hidden="false" customHeight="tru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25" t="str">
        <f aca="false">IFERROR(INDEX(Participants!$T$6:$T$205,MATCH(A73,Participants!$A$6:$A$205,0)),"")</f>
        <v/>
      </c>
      <c r="L73" s="25" t="str">
        <f aca="false">IF(AND(K73="stranger",ISNUMBER(F73)),F73,"")</f>
        <v/>
      </c>
    </row>
    <row r="74" customFormat="false" ht="15" hidden="false" customHeight="tru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25" t="str">
        <f aca="false">IFERROR(INDEX(Participants!$T$6:$T$205,MATCH(A74,Participants!$A$6:$A$205,0)),"")</f>
        <v/>
      </c>
      <c r="L74" s="25" t="str">
        <f aca="false">IF(AND(K74="stranger",ISNUMBER(F74)),F74,"")</f>
        <v/>
      </c>
    </row>
    <row r="75" customFormat="false" ht="15" hidden="false" customHeight="tru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25" t="str">
        <f aca="false">IFERROR(INDEX(Participants!$T$6:$T$205,MATCH(A75,Participants!$A$6:$A$205,0)),"")</f>
        <v/>
      </c>
      <c r="L75" s="25" t="str">
        <f aca="false">IF(AND(K75="stranger",ISNUMBER(F75)),F75,"")</f>
        <v/>
      </c>
    </row>
    <row r="76" customFormat="false" ht="15" hidden="false" customHeight="tru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25" t="str">
        <f aca="false">IFERROR(INDEX(Participants!$T$6:$T$205,MATCH(A76,Participants!$A$6:$A$205,0)),"")</f>
        <v/>
      </c>
      <c r="L76" s="25" t="str">
        <f aca="false">IF(AND(K76="stranger",ISNUMBER(F76)),F76,"")</f>
        <v/>
      </c>
    </row>
    <row r="77" customFormat="false" ht="15" hidden="false" customHeight="tru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25" t="str">
        <f aca="false">IFERROR(INDEX(Participants!$T$6:$T$205,MATCH(A77,Participants!$A$6:$A$205,0)),"")</f>
        <v/>
      </c>
      <c r="L77" s="25" t="str">
        <f aca="false">IF(AND(K77="stranger",ISNUMBER(F77)),F77,"")</f>
        <v/>
      </c>
    </row>
    <row r="78" customFormat="false" ht="15" hidden="false" customHeight="tru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25" t="str">
        <f aca="false">IFERROR(INDEX(Participants!$T$6:$T$205,MATCH(A78,Participants!$A$6:$A$205,0)),"")</f>
        <v/>
      </c>
      <c r="L78" s="25" t="str">
        <f aca="false">IF(AND(K78="stranger",ISNUMBER(F78)),F78,"")</f>
        <v/>
      </c>
    </row>
    <row r="79" customFormat="false" ht="15" hidden="false" customHeight="tru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25" t="str">
        <f aca="false">IFERROR(INDEX(Participants!$T$6:$T$205,MATCH(A79,Participants!$A$6:$A$205,0)),"")</f>
        <v/>
      </c>
      <c r="L79" s="25" t="str">
        <f aca="false">IF(AND(K79="stranger",ISNUMBER(F79)),F79,"")</f>
        <v/>
      </c>
    </row>
    <row r="80" customFormat="false" ht="15" hidden="false" customHeight="tru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25" t="str">
        <f aca="false">IFERROR(INDEX(Participants!$T$6:$T$205,MATCH(A80,Participants!$A$6:$A$205,0)),"")</f>
        <v/>
      </c>
      <c r="L80" s="25" t="str">
        <f aca="false">IF(AND(K80="stranger",ISNUMBER(F80)),F80,"")</f>
        <v/>
      </c>
    </row>
    <row r="81" customFormat="false" ht="15" hidden="false" customHeight="tru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25" t="str">
        <f aca="false">IFERROR(INDEX(Participants!$T$6:$T$205,MATCH(A81,Participants!$A$6:$A$205,0)),"")</f>
        <v/>
      </c>
      <c r="L81" s="25" t="str">
        <f aca="false">IF(AND(K81="stranger",ISNUMBER(F81)),F81,"")</f>
        <v/>
      </c>
    </row>
    <row r="82" customFormat="false" ht="15" hidden="false" customHeight="tru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25" t="str">
        <f aca="false">IFERROR(INDEX(Participants!$T$6:$T$205,MATCH(A82,Participants!$A$6:$A$205,0)),"")</f>
        <v/>
      </c>
      <c r="L82" s="25" t="str">
        <f aca="false">IF(AND(K82="stranger",ISNUMBER(F82)),F82,"")</f>
        <v/>
      </c>
    </row>
    <row r="83" customFormat="false" ht="15" hidden="false" customHeight="tru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25" t="str">
        <f aca="false">IFERROR(INDEX(Participants!$T$6:$T$205,MATCH(A83,Participants!$A$6:$A$205,0)),"")</f>
        <v/>
      </c>
      <c r="L83" s="25" t="str">
        <f aca="false">IF(AND(K83="stranger",ISNUMBER(F83)),F83,"")</f>
        <v/>
      </c>
    </row>
    <row r="84" customFormat="false" ht="15" hidden="false" customHeight="tru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25" t="str">
        <f aca="false">IFERROR(INDEX(Participants!$T$6:$T$205,MATCH(A84,Participants!$A$6:$A$205,0)),"")</f>
        <v/>
      </c>
      <c r="L84" s="25" t="str">
        <f aca="false">IF(AND(K84="stranger",ISNUMBER(F84)),F84,"")</f>
        <v/>
      </c>
    </row>
    <row r="85" customFormat="false" ht="15" hidden="false" customHeight="tru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25" t="str">
        <f aca="false">IFERROR(INDEX(Participants!$T$6:$T$205,MATCH(A85,Participants!$A$6:$A$205,0)),"")</f>
        <v/>
      </c>
      <c r="L85" s="25" t="str">
        <f aca="false">IF(AND(K85="stranger",ISNUMBER(F85)),F85,"")</f>
        <v/>
      </c>
    </row>
    <row r="86" customFormat="false" ht="15" hidden="false" customHeight="tru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25" t="str">
        <f aca="false">IFERROR(INDEX(Participants!$T$6:$T$205,MATCH(A86,Participants!$A$6:$A$205,0)),"")</f>
        <v/>
      </c>
      <c r="L86" s="25" t="str">
        <f aca="false">IF(AND(K86="stranger",ISNUMBER(F86)),F86,"")</f>
        <v/>
      </c>
    </row>
    <row r="87" customFormat="false" ht="15" hidden="false" customHeight="tru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25" t="str">
        <f aca="false">IFERROR(INDEX(Participants!$T$6:$T$205,MATCH(A87,Participants!$A$6:$A$205,0)),"")</f>
        <v/>
      </c>
      <c r="L87" s="25" t="str">
        <f aca="false">IF(AND(K87="stranger",ISNUMBER(F87)),F87,"")</f>
        <v/>
      </c>
    </row>
    <row r="88" customFormat="false" ht="15" hidden="false" customHeight="tru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25" t="str">
        <f aca="false">IFERROR(INDEX(Participants!$T$6:$T$205,MATCH(A88,Participants!$A$6:$A$205,0)),"")</f>
        <v/>
      </c>
      <c r="L88" s="25" t="str">
        <f aca="false">IF(AND(K88="stranger",ISNUMBER(F88)),F88,"")</f>
        <v/>
      </c>
    </row>
    <row r="89" customFormat="false" ht="15" hidden="false" customHeight="tru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25" t="str">
        <f aca="false">IFERROR(INDEX(Participants!$T$6:$T$205,MATCH(A89,Participants!$A$6:$A$205,0)),"")</f>
        <v/>
      </c>
      <c r="L89" s="25" t="str">
        <f aca="false">IF(AND(K89="stranger",ISNUMBER(F89)),F89,"")</f>
        <v/>
      </c>
    </row>
    <row r="90" customFormat="false" ht="15" hidden="false" customHeight="tru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25" t="str">
        <f aca="false">IFERROR(INDEX(Participants!$T$6:$T$205,MATCH(A90,Participants!$A$6:$A$205,0)),"")</f>
        <v/>
      </c>
      <c r="L90" s="25" t="str">
        <f aca="false">IF(AND(K90="stranger",ISNUMBER(F90)),F90,"")</f>
        <v/>
      </c>
    </row>
    <row r="91" customFormat="false" ht="15" hidden="false" customHeight="tru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25" t="str">
        <f aca="false">IFERROR(INDEX(Participants!$T$6:$T$205,MATCH(A91,Participants!$A$6:$A$205,0)),"")</f>
        <v/>
      </c>
      <c r="L91" s="25" t="str">
        <f aca="false">IF(AND(K91="stranger",ISNUMBER(F91)),F91,"")</f>
        <v/>
      </c>
    </row>
    <row r="92" customFormat="false" ht="15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25" t="str">
        <f aca="false">IFERROR(INDEX(Participants!$T$6:$T$205,MATCH(A92,Participants!$A$6:$A$205,0)),"")</f>
        <v/>
      </c>
      <c r="L92" s="25" t="str">
        <f aca="false">IF(AND(K92="stranger",ISNUMBER(F92)),F92,"")</f>
        <v/>
      </c>
    </row>
    <row r="93" customFormat="false" ht="15" hidden="false" customHeight="tru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25" t="str">
        <f aca="false">IFERROR(INDEX(Participants!$T$6:$T$205,MATCH(A93,Participants!$A$6:$A$205,0)),"")</f>
        <v/>
      </c>
      <c r="L93" s="25" t="str">
        <f aca="false">IF(AND(K93="stranger",ISNUMBER(F93)),F93,"")</f>
        <v/>
      </c>
    </row>
    <row r="94" customFormat="false" ht="15" hidden="false" customHeight="tru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25" t="str">
        <f aca="false">IFERROR(INDEX(Participants!$T$6:$T$205,MATCH(A94,Participants!$A$6:$A$205,0)),"")</f>
        <v/>
      </c>
      <c r="L94" s="25" t="str">
        <f aca="false">IF(AND(K94="stranger",ISNUMBER(F94)),F94,"")</f>
        <v/>
      </c>
    </row>
    <row r="95" customFormat="false" ht="15" hidden="false" customHeight="tru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25" t="str">
        <f aca="false">IFERROR(INDEX(Participants!$T$6:$T$205,MATCH(A95,Participants!$A$6:$A$205,0)),"")</f>
        <v/>
      </c>
      <c r="L95" s="25" t="str">
        <f aca="false">IF(AND(K95="stranger",ISNUMBER(F95)),F95,"")</f>
        <v/>
      </c>
    </row>
    <row r="96" customFormat="false" ht="1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25" t="str">
        <f aca="false">IFERROR(INDEX(Participants!$T$6:$T$205,MATCH(A96,Participants!$A$6:$A$205,0)),"")</f>
        <v/>
      </c>
      <c r="L96" s="25" t="str">
        <f aca="false">IF(AND(K96="stranger",ISNUMBER(F96)),F96,"")</f>
        <v/>
      </c>
    </row>
    <row r="97" customFormat="false" ht="1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25" t="str">
        <f aca="false">IFERROR(INDEX(Participants!$T$6:$T$205,MATCH(A97,Participants!$A$6:$A$205,0)),"")</f>
        <v/>
      </c>
      <c r="L97" s="25" t="str">
        <f aca="false">IF(AND(K97="stranger",ISNUMBER(F97)),F97,"")</f>
        <v/>
      </c>
    </row>
    <row r="98" customFormat="false" ht="1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25" t="str">
        <f aca="false">IFERROR(INDEX(Participants!$T$6:$T$205,MATCH(A98,Participants!$A$6:$A$205,0)),"")</f>
        <v/>
      </c>
      <c r="L98" s="25" t="str">
        <f aca="false">IF(AND(K98="stranger",ISNUMBER(F98)),F98,"")</f>
        <v/>
      </c>
    </row>
    <row r="99" customFormat="false" ht="15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25" t="str">
        <f aca="false">IFERROR(INDEX(Participants!$T$6:$T$205,MATCH(A99,Participants!$A$6:$A$205,0)),"")</f>
        <v/>
      </c>
      <c r="L99" s="25" t="str">
        <f aca="false">IF(AND(K99="stranger",ISNUMBER(F99)),F99,"")</f>
        <v/>
      </c>
    </row>
    <row r="100" customFormat="false" ht="15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25" t="str">
        <f aca="false">IFERROR(INDEX(Participants!$T$6:$T$205,MATCH(A100,Participants!$A$6:$A$205,0)),"")</f>
        <v/>
      </c>
      <c r="L100" s="25" t="str">
        <f aca="false">IF(AND(K100="stranger",ISNUMBER(F100)),F100,"")</f>
        <v/>
      </c>
    </row>
    <row r="101" customFormat="false" ht="15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25" t="str">
        <f aca="false">IFERROR(INDEX(Participants!$T$6:$T$205,MATCH(A101,Participants!$A$6:$A$205,0)),"")</f>
        <v/>
      </c>
      <c r="L101" s="25" t="str">
        <f aca="false">IF(AND(K101="stranger",ISNUMBER(F101)),F101,"")</f>
        <v/>
      </c>
    </row>
    <row r="102" customFormat="false" ht="15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25" t="str">
        <f aca="false">IFERROR(INDEX(Participants!$T$6:$T$205,MATCH(A102,Participants!$A$6:$A$205,0)),"")</f>
        <v/>
      </c>
      <c r="L102" s="25" t="str">
        <f aca="false">IF(AND(K102="stranger",ISNUMBER(F102)),F102,"")</f>
        <v/>
      </c>
    </row>
    <row r="103" customFormat="false" ht="1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25" t="str">
        <f aca="false">IFERROR(INDEX(Participants!$T$6:$T$205,MATCH(A103,Participants!$A$6:$A$205,0)),"")</f>
        <v/>
      </c>
      <c r="L103" s="25" t="str">
        <f aca="false">IF(AND(K103="stranger",ISNUMBER(F103)),F103,"")</f>
        <v/>
      </c>
    </row>
    <row r="104" customFormat="false" ht="1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25" t="str">
        <f aca="false">IFERROR(INDEX(Participants!$T$6:$T$205,MATCH(A104,Participants!$A$6:$A$205,0)),"")</f>
        <v/>
      </c>
      <c r="L104" s="25" t="str">
        <f aca="false">IF(AND(K104="stranger",ISNUMBER(F104)),F104,"")</f>
        <v/>
      </c>
    </row>
    <row r="105" customFormat="false" ht="1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25" t="str">
        <f aca="false">IFERROR(INDEX(Participants!$T$6:$T$205,MATCH(A105,Participants!$A$6:$A$205,0)),"")</f>
        <v/>
      </c>
      <c r="L105" s="25" t="str">
        <f aca="false">IF(AND(K105="stranger",ISNUMBER(F105)),F105,"")</f>
        <v/>
      </c>
    </row>
    <row r="106" customFormat="false" ht="1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25" t="str">
        <f aca="false">IFERROR(INDEX(Participants!$T$6:$T$205,MATCH(A106,Participants!$A$6:$A$205,0)),"")</f>
        <v/>
      </c>
      <c r="L106" s="25" t="str">
        <f aca="false">IF(AND(K106="stranger",ISNUMBER(F106)),F106,"")</f>
        <v/>
      </c>
    </row>
    <row r="107" customFormat="false" ht="1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25" t="str">
        <f aca="false">IFERROR(INDEX(Participants!$T$6:$T$205,MATCH(A107,Participants!$A$6:$A$205,0)),"")</f>
        <v/>
      </c>
      <c r="L107" s="25" t="str">
        <f aca="false">IF(AND(K107="stranger",ISNUMBER(F107)),F107,"")</f>
        <v/>
      </c>
    </row>
    <row r="108" customFormat="false" ht="1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25" t="str">
        <f aca="false">IFERROR(INDEX(Participants!$T$6:$T$205,MATCH(A108,Participants!$A$6:$A$205,0)),"")</f>
        <v/>
      </c>
      <c r="L108" s="25" t="str">
        <f aca="false">IF(AND(K108="stranger",ISNUMBER(F108)),F108,"")</f>
        <v/>
      </c>
    </row>
    <row r="109" customFormat="false" ht="1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25" t="str">
        <f aca="false">IFERROR(INDEX(Participants!$T$6:$T$205,MATCH(A109,Participants!$A$6:$A$205,0)),"")</f>
        <v/>
      </c>
      <c r="L109" s="25" t="str">
        <f aca="false">IF(AND(K109="stranger",ISNUMBER(F109)),F109,"")</f>
        <v/>
      </c>
    </row>
    <row r="110" customFormat="false" ht="1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25" t="str">
        <f aca="false">IFERROR(INDEX(Participants!$T$6:$T$205,MATCH(A110,Participants!$A$6:$A$205,0)),"")</f>
        <v/>
      </c>
      <c r="L110" s="25" t="str">
        <f aca="false">IF(AND(K110="stranger",ISNUMBER(F110)),F110,"")</f>
        <v/>
      </c>
    </row>
    <row r="111" customFormat="false" ht="1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25" t="str">
        <f aca="false">IFERROR(INDEX(Participants!$T$6:$T$205,MATCH(A111,Participants!$A$6:$A$205,0)),"")</f>
        <v/>
      </c>
      <c r="L111" s="25" t="str">
        <f aca="false">IF(AND(K111="stranger",ISNUMBER(F111)),F111,"")</f>
        <v/>
      </c>
    </row>
    <row r="112" customFormat="false" ht="1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25" t="str">
        <f aca="false">IFERROR(INDEX(Participants!$T$6:$T$205,MATCH(A112,Participants!$A$6:$A$205,0)),"")</f>
        <v/>
      </c>
      <c r="L112" s="25" t="str">
        <f aca="false">IF(AND(K112="stranger",ISNUMBER(F112)),F112,"")</f>
        <v/>
      </c>
    </row>
    <row r="113" customFormat="false" ht="1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25" t="str">
        <f aca="false">IFERROR(INDEX(Participants!$T$6:$T$205,MATCH(A113,Participants!$A$6:$A$205,0)),"")</f>
        <v/>
      </c>
      <c r="L113" s="25" t="str">
        <f aca="false">IF(AND(K113="stranger",ISNUMBER(F113)),F113,"")</f>
        <v/>
      </c>
    </row>
    <row r="114" customFormat="false" ht="1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25" t="str">
        <f aca="false">IFERROR(INDEX(Participants!$T$6:$T$205,MATCH(A114,Participants!$A$6:$A$205,0)),"")</f>
        <v/>
      </c>
      <c r="L114" s="25" t="str">
        <f aca="false">IF(AND(K114="stranger",ISNUMBER(F114)),F114,"")</f>
        <v/>
      </c>
    </row>
    <row r="115" customFormat="false" ht="1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25" t="str">
        <f aca="false">IFERROR(INDEX(Participants!$T$6:$T$205,MATCH(A115,Participants!$A$6:$A$205,0)),"")</f>
        <v/>
      </c>
      <c r="L115" s="25" t="str">
        <f aca="false">IF(AND(K115="stranger",ISNUMBER(F115)),F115,"")</f>
        <v/>
      </c>
    </row>
    <row r="116" customFormat="false" ht="1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25" t="str">
        <f aca="false">IFERROR(INDEX(Participants!$T$6:$T$205,MATCH(A116,Participants!$A$6:$A$205,0)),"")</f>
        <v/>
      </c>
      <c r="L116" s="25" t="str">
        <f aca="false">IF(AND(K116="stranger",ISNUMBER(F116)),F116,"")</f>
        <v/>
      </c>
    </row>
    <row r="117" customFormat="false" ht="1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25" t="str">
        <f aca="false">IFERROR(INDEX(Participants!$T$6:$T$205,MATCH(A117,Participants!$A$6:$A$205,0)),"")</f>
        <v/>
      </c>
      <c r="L117" s="25" t="str">
        <f aca="false">IF(AND(K117="stranger",ISNUMBER(F117)),F117,"")</f>
        <v/>
      </c>
    </row>
    <row r="118" customFormat="false" ht="1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25" t="str">
        <f aca="false">IFERROR(INDEX(Participants!$T$6:$T$205,MATCH(A118,Participants!$A$6:$A$205,0)),"")</f>
        <v/>
      </c>
      <c r="L118" s="25" t="str">
        <f aca="false">IF(AND(K118="stranger",ISNUMBER(F118)),F118,"")</f>
        <v/>
      </c>
    </row>
    <row r="119" customFormat="false" ht="1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25" t="str">
        <f aca="false">IFERROR(INDEX(Participants!$T$6:$T$205,MATCH(A119,Participants!$A$6:$A$205,0)),"")</f>
        <v/>
      </c>
      <c r="L119" s="25" t="str">
        <f aca="false">IF(AND(K119="stranger",ISNUMBER(F119)),F119,"")</f>
        <v/>
      </c>
    </row>
    <row r="120" customFormat="false" ht="1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25" t="str">
        <f aca="false">IFERROR(INDEX(Participants!$T$6:$T$205,MATCH(A120,Participants!$A$6:$A$205,0)),"")</f>
        <v/>
      </c>
      <c r="L120" s="25" t="str">
        <f aca="false">IF(AND(K120="stranger",ISNUMBER(F120)),F120,"")</f>
        <v/>
      </c>
    </row>
    <row r="121" customFormat="false" ht="1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25" t="str">
        <f aca="false">IFERROR(INDEX(Participants!$T$6:$T$205,MATCH(A121,Participants!$A$6:$A$205,0)),"")</f>
        <v/>
      </c>
      <c r="L121" s="25" t="str">
        <f aca="false">IF(AND(K121="stranger",ISNUMBER(F121)),F121,"")</f>
        <v/>
      </c>
    </row>
    <row r="122" customFormat="false" ht="1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25" t="str">
        <f aca="false">IFERROR(INDEX(Participants!$T$6:$T$205,MATCH(A122,Participants!$A$6:$A$205,0)),"")</f>
        <v/>
      </c>
      <c r="L122" s="25" t="str">
        <f aca="false">IF(AND(K122="stranger",ISNUMBER(F122)),F122,"")</f>
        <v/>
      </c>
    </row>
    <row r="123" customFormat="false" ht="1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25" t="str">
        <f aca="false">IFERROR(INDEX(Participants!$T$6:$T$205,MATCH(A123,Participants!$A$6:$A$205,0)),"")</f>
        <v/>
      </c>
      <c r="L123" s="25" t="str">
        <f aca="false">IF(AND(K123="stranger",ISNUMBER(F123)),F123,"")</f>
        <v/>
      </c>
    </row>
    <row r="124" customFormat="false" ht="1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25" t="str">
        <f aca="false">IFERROR(INDEX(Participants!$T$6:$T$205,MATCH(A124,Participants!$A$6:$A$205,0)),"")</f>
        <v/>
      </c>
      <c r="L124" s="25" t="str">
        <f aca="false">IF(AND(K124="stranger",ISNUMBER(F124)),F124,"")</f>
        <v/>
      </c>
    </row>
    <row r="125" customFormat="false" ht="1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25" t="str">
        <f aca="false">IFERROR(INDEX(Participants!$T$6:$T$205,MATCH(A125,Participants!$A$6:$A$205,0)),"")</f>
        <v/>
      </c>
      <c r="L125" s="25" t="str">
        <f aca="false">IF(AND(K125="stranger",ISNUMBER(F125)),F125,"")</f>
        <v/>
      </c>
    </row>
    <row r="126" customFormat="false" ht="1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25" t="str">
        <f aca="false">IFERROR(INDEX(Participants!$T$6:$T$205,MATCH(A126,Participants!$A$6:$A$205,0)),"")</f>
        <v/>
      </c>
      <c r="L126" s="25" t="str">
        <f aca="false">IF(AND(K126="stranger",ISNUMBER(F126)),F126,"")</f>
        <v/>
      </c>
    </row>
    <row r="127" customFormat="false" ht="1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25" t="str">
        <f aca="false">IFERROR(INDEX(Participants!$T$6:$T$205,MATCH(A127,Participants!$A$6:$A$205,0)),"")</f>
        <v/>
      </c>
      <c r="L127" s="25" t="str">
        <f aca="false">IF(AND(K127="stranger",ISNUMBER(F127)),F127,"")</f>
        <v/>
      </c>
    </row>
    <row r="128" customFormat="false" ht="1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25" t="str">
        <f aca="false">IFERROR(INDEX(Participants!$T$6:$T$205,MATCH(A128,Participants!$A$6:$A$205,0)),"")</f>
        <v/>
      </c>
      <c r="L128" s="25" t="str">
        <f aca="false">IF(AND(K128="stranger",ISNUMBER(F128)),F128,"")</f>
        <v/>
      </c>
    </row>
    <row r="129" customFormat="false" ht="1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25" t="str">
        <f aca="false">IFERROR(INDEX(Participants!$T$6:$T$205,MATCH(A129,Participants!$A$6:$A$205,0)),"")</f>
        <v/>
      </c>
      <c r="L129" s="25" t="str">
        <f aca="false">IF(AND(K129="stranger",ISNUMBER(F129)),F129,"")</f>
        <v/>
      </c>
    </row>
    <row r="130" customFormat="false" ht="1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25" t="str">
        <f aca="false">IFERROR(INDEX(Participants!$T$6:$T$205,MATCH(A130,Participants!$A$6:$A$205,0)),"")</f>
        <v/>
      </c>
      <c r="L130" s="25" t="str">
        <f aca="false">IF(AND(K130="stranger",ISNUMBER(F130)),F130,"")</f>
        <v/>
      </c>
    </row>
    <row r="131" customFormat="false" ht="1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25" t="str">
        <f aca="false">IFERROR(INDEX(Participants!$T$6:$T$205,MATCH(A131,Participants!$A$6:$A$205,0)),"")</f>
        <v/>
      </c>
      <c r="L131" s="25" t="str">
        <f aca="false">IF(AND(K131="stranger",ISNUMBER(F131)),F131,"")</f>
        <v/>
      </c>
    </row>
    <row r="132" customFormat="false" ht="1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25" t="str">
        <f aca="false">IFERROR(INDEX(Participants!$T$6:$T$205,MATCH(A132,Participants!$A$6:$A$205,0)),"")</f>
        <v/>
      </c>
      <c r="L132" s="25" t="str">
        <f aca="false">IF(AND(K132="stranger",ISNUMBER(F132)),F132,"")</f>
        <v/>
      </c>
    </row>
    <row r="133" customFormat="false" ht="1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25" t="str">
        <f aca="false">IFERROR(INDEX(Participants!$T$6:$T$205,MATCH(A133,Participants!$A$6:$A$205,0)),"")</f>
        <v/>
      </c>
      <c r="L133" s="25" t="str">
        <f aca="false">IF(AND(K133="stranger",ISNUMBER(F133)),F133,"")</f>
        <v/>
      </c>
    </row>
    <row r="134" customFormat="false" ht="1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25" t="str">
        <f aca="false">IFERROR(INDEX(Participants!$T$6:$T$205,MATCH(A134,Participants!$A$6:$A$205,0)),"")</f>
        <v/>
      </c>
      <c r="L134" s="25" t="str">
        <f aca="false">IF(AND(K134="stranger",ISNUMBER(F134)),F134,"")</f>
        <v/>
      </c>
    </row>
    <row r="135" customFormat="false" ht="1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25" t="str">
        <f aca="false">IFERROR(INDEX(Participants!$T$6:$T$205,MATCH(A135,Participants!$A$6:$A$205,0)),"")</f>
        <v/>
      </c>
      <c r="L135" s="25" t="str">
        <f aca="false">IF(AND(K135="stranger",ISNUMBER(F135)),F135,"")</f>
        <v/>
      </c>
    </row>
    <row r="136" customFormat="false" ht="1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25" t="str">
        <f aca="false">IFERROR(INDEX(Participants!$T$6:$T$205,MATCH(A136,Participants!$A$6:$A$205,0)),"")</f>
        <v/>
      </c>
      <c r="L136" s="25" t="str">
        <f aca="false">IF(AND(K136="stranger",ISNUMBER(F136)),F136,"")</f>
        <v/>
      </c>
    </row>
    <row r="137" customFormat="false" ht="1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25" t="str">
        <f aca="false">IFERROR(INDEX(Participants!$T$6:$T$205,MATCH(A137,Participants!$A$6:$A$205,0)),"")</f>
        <v/>
      </c>
      <c r="L137" s="25" t="str">
        <f aca="false">IF(AND(K137="stranger",ISNUMBER(F137)),F137,"")</f>
        <v/>
      </c>
    </row>
    <row r="138" customFormat="false" ht="1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25" t="str">
        <f aca="false">IFERROR(INDEX(Participants!$T$6:$T$205,MATCH(A138,Participants!$A$6:$A$205,0)),"")</f>
        <v/>
      </c>
      <c r="L138" s="25" t="str">
        <f aca="false">IF(AND(K138="stranger",ISNUMBER(F138)),F138,"")</f>
        <v/>
      </c>
    </row>
    <row r="139" customFormat="false" ht="1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25" t="str">
        <f aca="false">IFERROR(INDEX(Participants!$T$6:$T$205,MATCH(A139,Participants!$A$6:$A$205,0)),"")</f>
        <v/>
      </c>
      <c r="L139" s="25" t="str">
        <f aca="false">IF(AND(K139="stranger",ISNUMBER(F139)),F139,"")</f>
        <v/>
      </c>
    </row>
    <row r="140" customFormat="false" ht="1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25" t="str">
        <f aca="false">IFERROR(INDEX(Participants!$T$6:$T$205,MATCH(A140,Participants!$A$6:$A$205,0)),"")</f>
        <v/>
      </c>
      <c r="L140" s="25" t="str">
        <f aca="false">IF(AND(K140="stranger",ISNUMBER(F140)),F140,"")</f>
        <v/>
      </c>
    </row>
    <row r="141" customFormat="false" ht="1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25" t="str">
        <f aca="false">IFERROR(INDEX(Participants!$T$6:$T$205,MATCH(A141,Participants!$A$6:$A$205,0)),"")</f>
        <v/>
      </c>
      <c r="L141" s="25" t="str">
        <f aca="false">IF(AND(K141="stranger",ISNUMBER(F141)),F141,"")</f>
        <v/>
      </c>
    </row>
    <row r="142" customFormat="false" ht="1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25" t="str">
        <f aca="false">IFERROR(INDEX(Participants!$T$6:$T$205,MATCH(A142,Participants!$A$6:$A$205,0)),"")</f>
        <v/>
      </c>
      <c r="L142" s="25" t="str">
        <f aca="false">IF(AND(K142="stranger",ISNUMBER(F142)),F142,"")</f>
        <v/>
      </c>
    </row>
    <row r="143" customFormat="false" ht="1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25" t="str">
        <f aca="false">IFERROR(INDEX(Participants!$T$6:$T$205,MATCH(A143,Participants!$A$6:$A$205,0)),"")</f>
        <v/>
      </c>
      <c r="L143" s="25" t="str">
        <f aca="false">IF(AND(K143="stranger",ISNUMBER(F143)),F143,"")</f>
        <v/>
      </c>
    </row>
    <row r="144" customFormat="false" ht="1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25" t="str">
        <f aca="false">IFERROR(INDEX(Participants!$T$6:$T$205,MATCH(A144,Participants!$A$6:$A$205,0)),"")</f>
        <v/>
      </c>
      <c r="L144" s="25" t="str">
        <f aca="false">IF(AND(K144="stranger",ISNUMBER(F144)),F144,"")</f>
        <v/>
      </c>
    </row>
    <row r="145" customFormat="false" ht="1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25" t="str">
        <f aca="false">IFERROR(INDEX(Participants!$T$6:$T$205,MATCH(A145,Participants!$A$6:$A$205,0)),"")</f>
        <v/>
      </c>
      <c r="L145" s="25" t="str">
        <f aca="false">IF(AND(K145="stranger",ISNUMBER(F145)),F145,"")</f>
        <v/>
      </c>
    </row>
    <row r="146" customFormat="false" ht="1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25" t="str">
        <f aca="false">IFERROR(INDEX(Participants!$T$6:$T$205,MATCH(A146,Participants!$A$6:$A$205,0)),"")</f>
        <v/>
      </c>
      <c r="L146" s="25" t="str">
        <f aca="false">IF(AND(K146="stranger",ISNUMBER(F146)),F146,"")</f>
        <v/>
      </c>
    </row>
    <row r="147" customFormat="false" ht="1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25" t="str">
        <f aca="false">IFERROR(INDEX(Participants!$T$6:$T$205,MATCH(A147,Participants!$A$6:$A$205,0)),"")</f>
        <v/>
      </c>
      <c r="L147" s="25" t="str">
        <f aca="false">IF(AND(K147="stranger",ISNUMBER(F147)),F147,"")</f>
        <v/>
      </c>
    </row>
    <row r="148" customFormat="false" ht="1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25" t="str">
        <f aca="false">IFERROR(INDEX(Participants!$T$6:$T$205,MATCH(A148,Participants!$A$6:$A$205,0)),"")</f>
        <v/>
      </c>
      <c r="L148" s="25" t="str">
        <f aca="false">IF(AND(K148="stranger",ISNUMBER(F148)),F148,"")</f>
        <v/>
      </c>
    </row>
    <row r="149" customFormat="false" ht="1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25" t="str">
        <f aca="false">IFERROR(INDEX(Participants!$T$6:$T$205,MATCH(A149,Participants!$A$6:$A$205,0)),"")</f>
        <v/>
      </c>
      <c r="L149" s="25" t="str">
        <f aca="false">IF(AND(K149="stranger",ISNUMBER(F149)),F149,"")</f>
        <v/>
      </c>
    </row>
    <row r="150" customFormat="false" ht="1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25" t="str">
        <f aca="false">IFERROR(INDEX(Participants!$T$6:$T$205,MATCH(A150,Participants!$A$6:$A$205,0)),"")</f>
        <v/>
      </c>
      <c r="L150" s="25" t="str">
        <f aca="false">IF(AND(K150="stranger",ISNUMBER(F150)),F150,"")</f>
        <v/>
      </c>
    </row>
    <row r="151" customFormat="false" ht="1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25" t="str">
        <f aca="false">IFERROR(INDEX(Participants!$T$6:$T$205,MATCH(A151,Participants!$A$6:$A$205,0)),"")</f>
        <v/>
      </c>
      <c r="L151" s="25" t="str">
        <f aca="false">IF(AND(K151="stranger",ISNUMBER(F151)),F151,"")</f>
        <v/>
      </c>
    </row>
    <row r="152" customFormat="false" ht="1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25" t="str">
        <f aca="false">IFERROR(INDEX(Participants!$T$6:$T$205,MATCH(A152,Participants!$A$6:$A$205,0)),"")</f>
        <v/>
      </c>
      <c r="L152" s="25" t="str">
        <f aca="false">IF(AND(K152="stranger",ISNUMBER(F152)),F152,"")</f>
        <v/>
      </c>
    </row>
    <row r="153" customFormat="false" ht="1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25" t="str">
        <f aca="false">IFERROR(INDEX(Participants!$T$6:$T$205,MATCH(A153,Participants!$A$6:$A$205,0)),"")</f>
        <v/>
      </c>
      <c r="L153" s="25" t="str">
        <f aca="false">IF(AND(K153="stranger",ISNUMBER(F153)),F153,"")</f>
        <v/>
      </c>
    </row>
    <row r="154" customFormat="false" ht="1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25" t="str">
        <f aca="false">IFERROR(INDEX(Participants!$T$6:$T$205,MATCH(A154,Participants!$A$6:$A$205,0)),"")</f>
        <v/>
      </c>
      <c r="L154" s="25" t="str">
        <f aca="false">IF(AND(K154="stranger",ISNUMBER(F154)),F154,"")</f>
        <v/>
      </c>
    </row>
    <row r="155" customFormat="false" ht="1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25" t="str">
        <f aca="false">IFERROR(INDEX(Participants!$T$6:$T$205,MATCH(A155,Participants!$A$6:$A$205,0)),"")</f>
        <v/>
      </c>
      <c r="L155" s="25" t="str">
        <f aca="false">IF(AND(K155="stranger",ISNUMBER(F155)),F155,"")</f>
        <v/>
      </c>
    </row>
    <row r="156" customFormat="false" ht="1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25" t="str">
        <f aca="false">IFERROR(INDEX(Participants!$T$6:$T$205,MATCH(A156,Participants!$A$6:$A$205,0)),"")</f>
        <v/>
      </c>
      <c r="L156" s="25" t="str">
        <f aca="false">IF(AND(K156="stranger",ISNUMBER(F156)),F156,"")</f>
        <v/>
      </c>
    </row>
    <row r="157" customFormat="false" ht="1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25" t="str">
        <f aca="false">IFERROR(INDEX(Participants!$T$6:$T$205,MATCH(A157,Participants!$A$6:$A$205,0)),"")</f>
        <v/>
      </c>
      <c r="L157" s="25" t="str">
        <f aca="false">IF(AND(K157="stranger",ISNUMBER(F157)),F157,"")</f>
        <v/>
      </c>
    </row>
    <row r="158" customFormat="false" ht="1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25" t="str">
        <f aca="false">IFERROR(INDEX(Participants!$T$6:$T$205,MATCH(A158,Participants!$A$6:$A$205,0)),"")</f>
        <v/>
      </c>
      <c r="L158" s="25" t="str">
        <f aca="false">IF(AND(K158="stranger",ISNUMBER(F158)),F158,"")</f>
        <v/>
      </c>
    </row>
    <row r="159" customFormat="false" ht="1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25" t="str">
        <f aca="false">IFERROR(INDEX(Participants!$T$6:$T$205,MATCH(A159,Participants!$A$6:$A$205,0)),"")</f>
        <v/>
      </c>
      <c r="L159" s="25" t="str">
        <f aca="false">IF(AND(K159="stranger",ISNUMBER(F159)),F159,"")</f>
        <v/>
      </c>
    </row>
    <row r="160" customFormat="false" ht="1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25" t="str">
        <f aca="false">IFERROR(INDEX(Participants!$T$6:$T$205,MATCH(A160,Participants!$A$6:$A$205,0)),"")</f>
        <v/>
      </c>
      <c r="L160" s="25" t="str">
        <f aca="false">IF(AND(K160="stranger",ISNUMBER(F160)),F160,"")</f>
        <v/>
      </c>
    </row>
    <row r="161" customFormat="false" ht="1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25" t="str">
        <f aca="false">IFERROR(INDEX(Participants!$T$6:$T$205,MATCH(A161,Participants!$A$6:$A$205,0)),"")</f>
        <v/>
      </c>
      <c r="L161" s="25" t="str">
        <f aca="false">IF(AND(K161="stranger",ISNUMBER(F161)),F161,"")</f>
        <v/>
      </c>
    </row>
    <row r="162" customFormat="false" ht="1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25" t="str">
        <f aca="false">IFERROR(INDEX(Participants!$T$6:$T$205,MATCH(A162,Participants!$A$6:$A$205,0)),"")</f>
        <v/>
      </c>
      <c r="L162" s="25" t="str">
        <f aca="false">IF(AND(K162="stranger",ISNUMBER(F162)),F162,"")</f>
        <v/>
      </c>
    </row>
    <row r="163" customFormat="false" ht="1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25" t="str">
        <f aca="false">IFERROR(INDEX(Participants!$T$6:$T$205,MATCH(A163,Participants!$A$6:$A$205,0)),"")</f>
        <v/>
      </c>
      <c r="L163" s="25" t="str">
        <f aca="false">IF(AND(K163="stranger",ISNUMBER(F163)),F163,"")</f>
        <v/>
      </c>
    </row>
    <row r="164" customFormat="false" ht="1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25" t="str">
        <f aca="false">IFERROR(INDEX(Participants!$T$6:$T$205,MATCH(A164,Participants!$A$6:$A$205,0)),"")</f>
        <v/>
      </c>
      <c r="L164" s="25" t="str">
        <f aca="false">IF(AND(K164="stranger",ISNUMBER(F164)),F164,"")</f>
        <v/>
      </c>
    </row>
    <row r="165" customFormat="false" ht="1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25" t="str">
        <f aca="false">IFERROR(INDEX(Participants!$T$6:$T$205,MATCH(A165,Participants!$A$6:$A$205,0)),"")</f>
        <v/>
      </c>
      <c r="L165" s="25" t="str">
        <f aca="false">IF(AND(K165="stranger",ISNUMBER(F165)),F165,"")</f>
        <v/>
      </c>
    </row>
    <row r="166" customFormat="false" ht="1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25" t="str">
        <f aca="false">IFERROR(INDEX(Participants!$T$6:$T$205,MATCH(A166,Participants!$A$6:$A$205,0)),"")</f>
        <v/>
      </c>
      <c r="L166" s="25" t="str">
        <f aca="false">IF(AND(K166="stranger",ISNUMBER(F166)),F166,"")</f>
        <v/>
      </c>
    </row>
    <row r="167" customFormat="false" ht="1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25" t="str">
        <f aca="false">IFERROR(INDEX(Participants!$T$6:$T$205,MATCH(A167,Participants!$A$6:$A$205,0)),"")</f>
        <v/>
      </c>
      <c r="L167" s="25" t="str">
        <f aca="false">IF(AND(K167="stranger",ISNUMBER(F167)),F167,"")</f>
        <v/>
      </c>
    </row>
    <row r="168" customFormat="false" ht="1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25" t="str">
        <f aca="false">IFERROR(INDEX(Participants!$T$6:$T$205,MATCH(A168,Participants!$A$6:$A$205,0)),"")</f>
        <v/>
      </c>
      <c r="L168" s="25" t="str">
        <f aca="false">IF(AND(K168="stranger",ISNUMBER(F168)),F168,"")</f>
        <v/>
      </c>
    </row>
    <row r="169" customFormat="false" ht="1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25" t="str">
        <f aca="false">IFERROR(INDEX(Participants!$T$6:$T$205,MATCH(A169,Participants!$A$6:$A$205,0)),"")</f>
        <v/>
      </c>
      <c r="L169" s="25" t="str">
        <f aca="false">IF(AND(K169="stranger",ISNUMBER(F169)),F169,"")</f>
        <v/>
      </c>
    </row>
    <row r="170" customFormat="false" ht="1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25" t="str">
        <f aca="false">IFERROR(INDEX(Participants!$T$6:$T$205,MATCH(A170,Participants!$A$6:$A$205,0)),"")</f>
        <v/>
      </c>
      <c r="L170" s="25" t="str">
        <f aca="false">IF(AND(K170="stranger",ISNUMBER(F170)),F170,"")</f>
        <v/>
      </c>
    </row>
    <row r="171" customFormat="false" ht="1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25" t="str">
        <f aca="false">IFERROR(INDEX(Participants!$T$6:$T$205,MATCH(A171,Participants!$A$6:$A$205,0)),"")</f>
        <v/>
      </c>
      <c r="L171" s="25" t="str">
        <f aca="false">IF(AND(K171="stranger",ISNUMBER(F171)),F171,"")</f>
        <v/>
      </c>
    </row>
    <row r="172" customFormat="false" ht="1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25" t="str">
        <f aca="false">IFERROR(INDEX(Participants!$T$6:$T$205,MATCH(A172,Participants!$A$6:$A$205,0)),"")</f>
        <v/>
      </c>
      <c r="L172" s="25" t="str">
        <f aca="false">IF(AND(K172="stranger",ISNUMBER(F172)),F172,"")</f>
        <v/>
      </c>
    </row>
    <row r="173" customFormat="false" ht="1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25" t="str">
        <f aca="false">IFERROR(INDEX(Participants!$T$6:$T$205,MATCH(A173,Participants!$A$6:$A$205,0)),"")</f>
        <v/>
      </c>
      <c r="L173" s="25" t="str">
        <f aca="false">IF(AND(K173="stranger",ISNUMBER(F173)),F173,"")</f>
        <v/>
      </c>
    </row>
    <row r="174" customFormat="false" ht="1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25" t="str">
        <f aca="false">IFERROR(INDEX(Participants!$T$6:$T$205,MATCH(A174,Participants!$A$6:$A$205,0)),"")</f>
        <v/>
      </c>
      <c r="L174" s="25" t="str">
        <f aca="false">IF(AND(K174="stranger",ISNUMBER(F174)),F174,"")</f>
        <v/>
      </c>
    </row>
    <row r="175" customFormat="false" ht="1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25" t="str">
        <f aca="false">IFERROR(INDEX(Participants!$T$6:$T$205,MATCH(A175,Participants!$A$6:$A$205,0)),"")</f>
        <v/>
      </c>
      <c r="L175" s="25" t="str">
        <f aca="false">IF(AND(K175="stranger",ISNUMBER(F175)),F175,"")</f>
        <v/>
      </c>
    </row>
    <row r="176" customFormat="false" ht="1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25" t="str">
        <f aca="false">IFERROR(INDEX(Participants!$T$6:$T$205,MATCH(A176,Participants!$A$6:$A$205,0)),"")</f>
        <v/>
      </c>
      <c r="L176" s="25" t="str">
        <f aca="false">IF(AND(K176="stranger",ISNUMBER(F176)),F176,"")</f>
        <v/>
      </c>
    </row>
    <row r="177" customFormat="false" ht="1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25" t="str">
        <f aca="false">IFERROR(INDEX(Participants!$T$6:$T$205,MATCH(A177,Participants!$A$6:$A$205,0)),"")</f>
        <v/>
      </c>
      <c r="L177" s="25" t="str">
        <f aca="false">IF(AND(K177="stranger",ISNUMBER(F177)),F177,"")</f>
        <v/>
      </c>
    </row>
    <row r="178" customFormat="false" ht="1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25" t="str">
        <f aca="false">IFERROR(INDEX(Participants!$T$6:$T$205,MATCH(A178,Participants!$A$6:$A$205,0)),"")</f>
        <v/>
      </c>
      <c r="L178" s="25" t="str">
        <f aca="false">IF(AND(K178="stranger",ISNUMBER(F178)),F178,"")</f>
        <v/>
      </c>
    </row>
    <row r="179" customFormat="false" ht="1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25" t="str">
        <f aca="false">IFERROR(INDEX(Participants!$T$6:$T$205,MATCH(A179,Participants!$A$6:$A$205,0)),"")</f>
        <v/>
      </c>
      <c r="L179" s="25" t="str">
        <f aca="false">IF(AND(K179="stranger",ISNUMBER(F179)),F179,"")</f>
        <v/>
      </c>
    </row>
    <row r="180" customFormat="false" ht="1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25" t="str">
        <f aca="false">IFERROR(INDEX(Participants!$T$6:$T$205,MATCH(A180,Participants!$A$6:$A$205,0)),"")</f>
        <v/>
      </c>
      <c r="L180" s="25" t="str">
        <f aca="false">IF(AND(K180="stranger",ISNUMBER(F180)),F180,"")</f>
        <v/>
      </c>
    </row>
    <row r="181" customFormat="false" ht="1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25" t="str">
        <f aca="false">IFERROR(INDEX(Participants!$T$6:$T$205,MATCH(A181,Participants!$A$6:$A$205,0)),"")</f>
        <v/>
      </c>
      <c r="L181" s="25" t="str">
        <f aca="false">IF(AND(K181="stranger",ISNUMBER(F181)),F181,"")</f>
        <v/>
      </c>
    </row>
    <row r="182" customFormat="false" ht="1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25" t="str">
        <f aca="false">IFERROR(INDEX(Participants!$T$6:$T$205,MATCH(A182,Participants!$A$6:$A$205,0)),"")</f>
        <v/>
      </c>
      <c r="L182" s="25" t="str">
        <f aca="false">IF(AND(K182="stranger",ISNUMBER(F182)),F182,"")</f>
        <v/>
      </c>
    </row>
    <row r="183" customFormat="false" ht="1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25" t="str">
        <f aca="false">IFERROR(INDEX(Participants!$T$6:$T$205,MATCH(A183,Participants!$A$6:$A$205,0)),"")</f>
        <v/>
      </c>
      <c r="L183" s="25" t="str">
        <f aca="false">IF(AND(K183="stranger",ISNUMBER(F183)),F183,"")</f>
        <v/>
      </c>
    </row>
    <row r="184" customFormat="false" ht="1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25" t="str">
        <f aca="false">IFERROR(INDEX(Participants!$T$6:$T$205,MATCH(A184,Participants!$A$6:$A$205,0)),"")</f>
        <v/>
      </c>
      <c r="L184" s="25" t="str">
        <f aca="false">IF(AND(K184="stranger",ISNUMBER(F184)),F184,"")</f>
        <v/>
      </c>
    </row>
    <row r="185" customFormat="false" ht="1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25" t="str">
        <f aca="false">IFERROR(INDEX(Participants!$T$6:$T$205,MATCH(A185,Participants!$A$6:$A$205,0)),"")</f>
        <v/>
      </c>
      <c r="L185" s="25" t="str">
        <f aca="false">IF(AND(K185="stranger",ISNUMBER(F185)),F185,"")</f>
        <v/>
      </c>
    </row>
    <row r="186" customFormat="false" ht="1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25" t="str">
        <f aca="false">IFERROR(INDEX(Participants!$T$6:$T$205,MATCH(A186,Participants!$A$6:$A$205,0)),"")</f>
        <v/>
      </c>
      <c r="L186" s="25" t="str">
        <f aca="false">IF(AND(K186="stranger",ISNUMBER(F186)),F186,"")</f>
        <v/>
      </c>
    </row>
    <row r="187" customFormat="false" ht="1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25" t="str">
        <f aca="false">IFERROR(INDEX(Participants!$T$6:$T$205,MATCH(A187,Participants!$A$6:$A$205,0)),"")</f>
        <v/>
      </c>
      <c r="L187" s="25" t="str">
        <f aca="false">IF(AND(K187="stranger",ISNUMBER(F187)),F187,"")</f>
        <v/>
      </c>
    </row>
    <row r="188" customFormat="false" ht="1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25" t="str">
        <f aca="false">IFERROR(INDEX(Participants!$T$6:$T$205,MATCH(A188,Participants!$A$6:$A$205,0)),"")</f>
        <v/>
      </c>
      <c r="L188" s="25" t="str">
        <f aca="false">IF(AND(K188="stranger",ISNUMBER(F188)),F188,"")</f>
        <v/>
      </c>
    </row>
    <row r="189" customFormat="false" ht="1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25" t="str">
        <f aca="false">IFERROR(INDEX(Participants!$T$6:$T$205,MATCH(A189,Participants!$A$6:$A$205,0)),"")</f>
        <v/>
      </c>
      <c r="L189" s="25" t="str">
        <f aca="false">IF(AND(K189="stranger",ISNUMBER(F189)),F189,"")</f>
        <v/>
      </c>
    </row>
    <row r="190" customFormat="false" ht="1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25" t="str">
        <f aca="false">IFERROR(INDEX(Participants!$T$6:$T$205,MATCH(A190,Participants!$A$6:$A$205,0)),"")</f>
        <v/>
      </c>
      <c r="L190" s="25" t="str">
        <f aca="false">IF(AND(K190="stranger",ISNUMBER(F190)),F190,"")</f>
        <v/>
      </c>
    </row>
    <row r="191" customFormat="false" ht="1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25" t="str">
        <f aca="false">IFERROR(INDEX(Participants!$T$6:$T$205,MATCH(A191,Participants!$A$6:$A$205,0)),"")</f>
        <v/>
      </c>
      <c r="L191" s="25" t="str">
        <f aca="false">IF(AND(K191="stranger",ISNUMBER(F191)),F191,"")</f>
        <v/>
      </c>
    </row>
    <row r="192" customFormat="false" ht="1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25" t="str">
        <f aca="false">IFERROR(INDEX(Participants!$T$6:$T$205,MATCH(A192,Participants!$A$6:$A$205,0)),"")</f>
        <v/>
      </c>
      <c r="L192" s="25" t="str">
        <f aca="false">IF(AND(K192="stranger",ISNUMBER(F192)),F192,"")</f>
        <v/>
      </c>
    </row>
    <row r="193" customFormat="false" ht="1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25" t="str">
        <f aca="false">IFERROR(INDEX(Participants!$T$6:$T$205,MATCH(A193,Participants!$A$6:$A$205,0)),"")</f>
        <v/>
      </c>
      <c r="L193" s="25" t="str">
        <f aca="false">IF(AND(K193="stranger",ISNUMBER(F193)),F193,"")</f>
        <v/>
      </c>
    </row>
    <row r="194" customFormat="false" ht="1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25" t="str">
        <f aca="false">IFERROR(INDEX(Participants!$T$6:$T$205,MATCH(A194,Participants!$A$6:$A$205,0)),"")</f>
        <v/>
      </c>
      <c r="L194" s="25" t="str">
        <f aca="false">IF(AND(K194="stranger",ISNUMBER(F194)),F194,"")</f>
        <v/>
      </c>
    </row>
    <row r="195" customFormat="false" ht="1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25" t="str">
        <f aca="false">IFERROR(INDEX(Participants!$T$6:$T$205,MATCH(A195,Participants!$A$6:$A$205,0)),"")</f>
        <v/>
      </c>
      <c r="L195" s="25" t="str">
        <f aca="false">IF(AND(K195="stranger",ISNUMBER(F195)),F195,"")</f>
        <v/>
      </c>
    </row>
    <row r="196" customFormat="false" ht="1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25" t="str">
        <f aca="false">IFERROR(INDEX(Participants!$T$6:$T$205,MATCH(A196,Participants!$A$6:$A$205,0)),"")</f>
        <v/>
      </c>
      <c r="L196" s="25" t="str">
        <f aca="false">IF(AND(K196="stranger",ISNUMBER(F196)),F196,"")</f>
        <v/>
      </c>
    </row>
    <row r="197" customFormat="false" ht="1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25" t="str">
        <f aca="false">IFERROR(INDEX(Participants!$T$6:$T$205,MATCH(A197,Participants!$A$6:$A$205,0)),"")</f>
        <v/>
      </c>
      <c r="L197" s="25" t="str">
        <f aca="false">IF(AND(K197="stranger",ISNUMBER(F197)),F197,"")</f>
        <v/>
      </c>
    </row>
    <row r="198" customFormat="false" ht="1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25" t="str">
        <f aca="false">IFERROR(INDEX(Participants!$T$6:$T$205,MATCH(A198,Participants!$A$6:$A$205,0)),"")</f>
        <v/>
      </c>
      <c r="L198" s="25" t="str">
        <f aca="false">IF(AND(K198="stranger",ISNUMBER(F198)),F198,"")</f>
        <v/>
      </c>
    </row>
    <row r="199" customFormat="false" ht="1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25" t="str">
        <f aca="false">IFERROR(INDEX(Participants!$T$6:$T$205,MATCH(A199,Participants!$A$6:$A$205,0)),"")</f>
        <v/>
      </c>
      <c r="L199" s="25" t="str">
        <f aca="false">IF(AND(K199="stranger",ISNUMBER(F199)),F199,"")</f>
        <v/>
      </c>
    </row>
    <row r="200" customFormat="false" ht="1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25" t="str">
        <f aca="false">IFERROR(INDEX(Participants!$T$6:$T$205,MATCH(A200,Participants!$A$6:$A$205,0)),"")</f>
        <v/>
      </c>
      <c r="L200" s="25" t="str">
        <f aca="false">IF(AND(K200="stranger",ISNUMBER(F200)),F200,"")</f>
        <v/>
      </c>
    </row>
    <row r="201" customFormat="false" ht="1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25" t="str">
        <f aca="false">IFERROR(INDEX(Participants!$T$6:$T$205,MATCH(A201,Participants!$A$6:$A$205,0)),"")</f>
        <v/>
      </c>
      <c r="L201" s="25" t="str">
        <f aca="false">IF(AND(K201="stranger",ISNUMBER(F201)),F201,"")</f>
        <v/>
      </c>
    </row>
    <row r="202" customFormat="false" ht="1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25" t="str">
        <f aca="false">IFERROR(INDEX(Participants!$T$6:$T$205,MATCH(A202,Participants!$A$6:$A$205,0)),"")</f>
        <v/>
      </c>
      <c r="L202" s="25" t="str">
        <f aca="false">IF(AND(K202="stranger",ISNUMBER(F202)),F202,"")</f>
        <v/>
      </c>
    </row>
    <row r="203" customFormat="false" ht="1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25" t="str">
        <f aca="false">IFERROR(INDEX(Participants!$T$6:$T$205,MATCH(A203,Participants!$A$6:$A$205,0)),"")</f>
        <v/>
      </c>
      <c r="L203" s="25" t="str">
        <f aca="false">IF(AND(K203="stranger",ISNUMBER(F203)),F203,"")</f>
        <v/>
      </c>
    </row>
    <row r="204" customFormat="false" ht="1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25" t="str">
        <f aca="false">IFERROR(INDEX(Participants!$T$6:$T$205,MATCH(A204,Participants!$A$6:$A$205,0)),"")</f>
        <v/>
      </c>
      <c r="L204" s="25" t="str">
        <f aca="false">IF(AND(K204="stranger",ISNUMBER(F204)),F204,"")</f>
        <v/>
      </c>
    </row>
    <row r="205" customFormat="false" ht="1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25" t="str">
        <f aca="false">IFERROR(INDEX(Participants!$T$6:$T$205,MATCH(A205,Participants!$A$6:$A$205,0)),"")</f>
        <v/>
      </c>
      <c r="L205" s="25" t="str">
        <f aca="false">IF(AND(K205="stranger",ISNUMBER(F205)),F205,"")</f>
        <v/>
      </c>
    </row>
  </sheetData>
  <dataValidations count="3">
    <dataValidation allowBlank="true" errorStyle="stop" operator="between" showDropDown="false" showErrorMessage="false" showInputMessage="false" sqref="F6:F205" type="whole">
      <formula1>1</formula1>
      <formula2>5</formula2>
    </dataValidation>
    <dataValidation allowBlank="true" errorStyle="stop" operator="between" showDropDown="false" showErrorMessage="false" showInputMessage="false" sqref="C6:C205" type="whole">
      <formula1>1</formula1>
      <formula2>12</formula2>
    </dataValidation>
    <dataValidation allowBlank="true" errorStyle="stop" operator="between" showDropDown="false" showErrorMessage="false" showInputMessage="false" sqref="I6:I20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6" min="4" style="1" width="12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6" t="s">
        <v>217</v>
      </c>
    </row>
    <row r="2" customFormat="false" ht="15" hidden="false" customHeight="true" outlineLevel="0" collapsed="false">
      <c r="A2" s="7" t="s">
        <v>218</v>
      </c>
    </row>
    <row r="3" customFormat="false" ht="15" hidden="false" customHeight="true" outlineLevel="0" collapsed="false">
      <c r="A3" s="21" t="s">
        <v>89</v>
      </c>
    </row>
    <row r="4" customFormat="false" ht="15" hidden="false" customHeight="true" outlineLevel="0" collapsed="false">
      <c r="A4" s="22" t="s">
        <v>92</v>
      </c>
      <c r="B4" s="22" t="s">
        <v>219</v>
      </c>
      <c r="C4" s="22" t="s">
        <v>220</v>
      </c>
      <c r="D4" s="22" t="s">
        <v>221</v>
      </c>
      <c r="E4" s="22" t="s">
        <v>222</v>
      </c>
      <c r="F4" s="22" t="n">
        <v>35</v>
      </c>
      <c r="G4" s="22" t="n">
        <v>4</v>
      </c>
    </row>
    <row r="5" customFormat="false" ht="42" hidden="false" customHeight="true" outlineLevel="0" collapsed="false">
      <c r="A5" s="23" t="s">
        <v>106</v>
      </c>
      <c r="B5" s="23" t="s">
        <v>223</v>
      </c>
      <c r="C5" s="23" t="s">
        <v>224</v>
      </c>
      <c r="D5" s="23" t="s">
        <v>225</v>
      </c>
      <c r="E5" s="23" t="s">
        <v>207</v>
      </c>
      <c r="F5" s="23" t="s">
        <v>226</v>
      </c>
      <c r="G5" s="23" t="s">
        <v>227</v>
      </c>
    </row>
    <row r="6" customFormat="false" ht="15" hidden="false" customHeight="true" outlineLevel="0" collapsed="false">
      <c r="A6" s="9"/>
      <c r="B6" s="9"/>
      <c r="C6" s="9"/>
      <c r="D6" s="9"/>
      <c r="E6" s="9"/>
      <c r="F6" s="9"/>
      <c r="G6" s="9"/>
    </row>
    <row r="7" customFormat="false" ht="15" hidden="false" customHeight="true" outlineLevel="0" collapsed="false">
      <c r="A7" s="9"/>
      <c r="B7" s="9"/>
      <c r="C7" s="9"/>
      <c r="D7" s="9"/>
      <c r="E7" s="9"/>
      <c r="F7" s="9"/>
      <c r="G7" s="9"/>
    </row>
    <row r="8" customFormat="false" ht="15" hidden="false" customHeight="true" outlineLevel="0" collapsed="false">
      <c r="A8" s="9"/>
      <c r="B8" s="9"/>
      <c r="C8" s="9"/>
      <c r="D8" s="9"/>
      <c r="E8" s="9"/>
      <c r="F8" s="9"/>
      <c r="G8" s="9"/>
    </row>
    <row r="9" customFormat="false" ht="15" hidden="false" customHeight="true" outlineLevel="0" collapsed="false">
      <c r="A9" s="9"/>
      <c r="B9" s="9"/>
      <c r="C9" s="9"/>
      <c r="D9" s="9"/>
      <c r="E9" s="9"/>
      <c r="F9" s="9"/>
      <c r="G9" s="9"/>
    </row>
    <row r="10" customFormat="false" ht="15" hidden="false" customHeight="true" outlineLevel="0" collapsed="false">
      <c r="A10" s="9"/>
      <c r="B10" s="9"/>
      <c r="C10" s="9"/>
      <c r="D10" s="9"/>
      <c r="E10" s="9"/>
      <c r="F10" s="9"/>
      <c r="G10" s="9"/>
    </row>
    <row r="11" customFormat="false" ht="15" hidden="false" customHeight="true" outlineLevel="0" collapsed="false">
      <c r="A11" s="9"/>
      <c r="B11" s="9"/>
      <c r="C11" s="9"/>
      <c r="D11" s="9"/>
      <c r="E11" s="9"/>
      <c r="F11" s="9"/>
      <c r="G11" s="9"/>
    </row>
    <row r="12" customFormat="false" ht="15" hidden="false" customHeight="true" outlineLevel="0" collapsed="false">
      <c r="A12" s="9"/>
      <c r="B12" s="9"/>
      <c r="C12" s="9"/>
      <c r="D12" s="9"/>
      <c r="E12" s="9"/>
      <c r="F12" s="9"/>
      <c r="G12" s="9"/>
    </row>
    <row r="13" customFormat="false" ht="15" hidden="false" customHeight="true" outlineLevel="0" collapsed="false">
      <c r="A13" s="9"/>
      <c r="B13" s="9"/>
      <c r="C13" s="9"/>
      <c r="D13" s="9"/>
      <c r="E13" s="9"/>
      <c r="F13" s="9"/>
      <c r="G13" s="9"/>
    </row>
    <row r="14" customFormat="false" ht="15" hidden="false" customHeight="true" outlineLevel="0" collapsed="false">
      <c r="A14" s="9"/>
      <c r="B14" s="9"/>
      <c r="C14" s="9"/>
      <c r="D14" s="9"/>
      <c r="E14" s="9"/>
      <c r="F14" s="9"/>
      <c r="G14" s="9"/>
    </row>
    <row r="15" customFormat="false" ht="15" hidden="false" customHeight="true" outlineLevel="0" collapsed="false">
      <c r="A15" s="9"/>
      <c r="B15" s="9"/>
      <c r="C15" s="9"/>
      <c r="D15" s="9"/>
      <c r="E15" s="9"/>
      <c r="F15" s="9"/>
      <c r="G15" s="9"/>
    </row>
    <row r="16" customFormat="false" ht="15" hidden="false" customHeight="true" outlineLevel="0" collapsed="false">
      <c r="A16" s="9"/>
      <c r="B16" s="9"/>
      <c r="C16" s="9"/>
      <c r="D16" s="9"/>
      <c r="E16" s="9"/>
      <c r="F16" s="9"/>
      <c r="G16" s="9"/>
    </row>
    <row r="17" customFormat="false" ht="15" hidden="false" customHeight="true" outlineLevel="0" collapsed="false">
      <c r="A17" s="9"/>
      <c r="B17" s="9"/>
      <c r="C17" s="9"/>
      <c r="D17" s="9"/>
      <c r="E17" s="9"/>
      <c r="F17" s="9"/>
      <c r="G17" s="9"/>
    </row>
    <row r="18" customFormat="false" ht="15" hidden="false" customHeight="true" outlineLevel="0" collapsed="false">
      <c r="A18" s="9"/>
      <c r="B18" s="9"/>
      <c r="C18" s="9"/>
      <c r="D18" s="9"/>
      <c r="E18" s="9"/>
      <c r="F18" s="9"/>
      <c r="G18" s="9"/>
    </row>
    <row r="19" customFormat="false" ht="15" hidden="false" customHeight="true" outlineLevel="0" collapsed="false">
      <c r="A19" s="9"/>
      <c r="B19" s="9"/>
      <c r="C19" s="9"/>
      <c r="D19" s="9"/>
      <c r="E19" s="9"/>
      <c r="F19" s="9"/>
      <c r="G19" s="9"/>
    </row>
    <row r="20" customFormat="false" ht="15" hidden="false" customHeight="true" outlineLevel="0" collapsed="false">
      <c r="A20" s="9"/>
      <c r="B20" s="9"/>
      <c r="C20" s="9"/>
      <c r="D20" s="9"/>
      <c r="E20" s="9"/>
      <c r="F20" s="9"/>
      <c r="G20" s="9"/>
    </row>
    <row r="21" customFormat="false" ht="15" hidden="false" customHeight="true" outlineLevel="0" collapsed="false">
      <c r="A21" s="9"/>
      <c r="B21" s="9"/>
      <c r="C21" s="9"/>
      <c r="D21" s="9"/>
      <c r="E21" s="9"/>
      <c r="F21" s="9"/>
      <c r="G21" s="9"/>
    </row>
    <row r="22" customFormat="false" ht="15" hidden="false" customHeight="true" outlineLevel="0" collapsed="false">
      <c r="A22" s="9"/>
      <c r="B22" s="9"/>
      <c r="C22" s="9"/>
      <c r="D22" s="9"/>
      <c r="E22" s="9"/>
      <c r="F22" s="9"/>
      <c r="G22" s="9"/>
    </row>
    <row r="23" customFormat="false" ht="15" hidden="false" customHeight="true" outlineLevel="0" collapsed="false">
      <c r="A23" s="9"/>
      <c r="B23" s="9"/>
      <c r="C23" s="9"/>
      <c r="D23" s="9"/>
      <c r="E23" s="9"/>
      <c r="F23" s="9"/>
      <c r="G23" s="9"/>
    </row>
    <row r="24" customFormat="false" ht="15" hidden="false" customHeight="true" outlineLevel="0" collapsed="false">
      <c r="A24" s="9"/>
      <c r="B24" s="9"/>
      <c r="C24" s="9"/>
      <c r="D24" s="9"/>
      <c r="E24" s="9"/>
      <c r="F24" s="9"/>
      <c r="G24" s="9"/>
    </row>
    <row r="25" customFormat="false" ht="15" hidden="false" customHeight="true" outlineLevel="0" collapsed="false">
      <c r="A25" s="9"/>
      <c r="B25" s="9"/>
      <c r="C25" s="9"/>
      <c r="D25" s="9"/>
      <c r="E25" s="9"/>
      <c r="F25" s="9"/>
      <c r="G25" s="9"/>
    </row>
    <row r="26" customFormat="false" ht="15" hidden="false" customHeight="true" outlineLevel="0" collapsed="false">
      <c r="A26" s="9"/>
      <c r="B26" s="9"/>
      <c r="C26" s="9"/>
      <c r="D26" s="9"/>
      <c r="E26" s="9"/>
      <c r="F26" s="9"/>
      <c r="G26" s="9"/>
    </row>
    <row r="27" customFormat="false" ht="15" hidden="false" customHeight="true" outlineLevel="0" collapsed="false">
      <c r="A27" s="9"/>
      <c r="B27" s="9"/>
      <c r="C27" s="9"/>
      <c r="D27" s="9"/>
      <c r="E27" s="9"/>
      <c r="F27" s="9"/>
      <c r="G27" s="9"/>
    </row>
    <row r="28" customFormat="false" ht="15" hidden="false" customHeight="true" outlineLevel="0" collapsed="false">
      <c r="A28" s="9"/>
      <c r="B28" s="9"/>
      <c r="C28" s="9"/>
      <c r="D28" s="9"/>
      <c r="E28" s="9"/>
      <c r="F28" s="9"/>
      <c r="G28" s="9"/>
    </row>
    <row r="29" customFormat="false" ht="15" hidden="false" customHeight="true" outlineLevel="0" collapsed="false">
      <c r="A29" s="9"/>
      <c r="B29" s="9"/>
      <c r="C29" s="9"/>
      <c r="D29" s="9"/>
      <c r="E29" s="9"/>
      <c r="F29" s="9"/>
      <c r="G29" s="9"/>
    </row>
    <row r="30" customFormat="false" ht="15" hidden="false" customHeight="true" outlineLevel="0" collapsed="false">
      <c r="A30" s="9"/>
      <c r="B30" s="9"/>
      <c r="C30" s="9"/>
      <c r="D30" s="9"/>
      <c r="E30" s="9"/>
      <c r="F30" s="9"/>
      <c r="G30" s="9"/>
    </row>
    <row r="31" customFormat="false" ht="15" hidden="false" customHeight="true" outlineLevel="0" collapsed="false">
      <c r="A31" s="9"/>
      <c r="B31" s="9"/>
      <c r="C31" s="9"/>
      <c r="D31" s="9"/>
      <c r="E31" s="9"/>
      <c r="F31" s="9"/>
      <c r="G31" s="9"/>
    </row>
    <row r="32" customFormat="false" ht="15" hidden="false" customHeight="true" outlineLevel="0" collapsed="false">
      <c r="A32" s="9"/>
      <c r="B32" s="9"/>
      <c r="C32" s="9"/>
      <c r="D32" s="9"/>
      <c r="E32" s="9"/>
      <c r="F32" s="9"/>
      <c r="G32" s="9"/>
    </row>
    <row r="33" customFormat="false" ht="15" hidden="false" customHeight="true" outlineLevel="0" collapsed="false">
      <c r="A33" s="9"/>
      <c r="B33" s="9"/>
      <c r="C33" s="9"/>
      <c r="D33" s="9"/>
      <c r="E33" s="9"/>
      <c r="F33" s="9"/>
      <c r="G33" s="9"/>
    </row>
    <row r="34" customFormat="false" ht="15" hidden="false" customHeight="true" outlineLevel="0" collapsed="false">
      <c r="A34" s="9"/>
      <c r="B34" s="9"/>
      <c r="C34" s="9"/>
      <c r="D34" s="9"/>
      <c r="E34" s="9"/>
      <c r="F34" s="9"/>
      <c r="G34" s="9"/>
    </row>
    <row r="35" customFormat="false" ht="15" hidden="false" customHeight="true" outlineLevel="0" collapsed="false">
      <c r="A35" s="9"/>
      <c r="B35" s="9"/>
      <c r="C35" s="9"/>
      <c r="D35" s="9"/>
      <c r="E35" s="9"/>
      <c r="F35" s="9"/>
      <c r="G35" s="9"/>
    </row>
    <row r="36" customFormat="false" ht="15" hidden="false" customHeight="true" outlineLevel="0" collapsed="false">
      <c r="A36" s="9"/>
      <c r="B36" s="9"/>
      <c r="C36" s="9"/>
      <c r="D36" s="9"/>
      <c r="E36" s="9"/>
      <c r="F36" s="9"/>
      <c r="G36" s="9"/>
    </row>
    <row r="37" customFormat="false" ht="15" hidden="false" customHeight="true" outlineLevel="0" collapsed="false">
      <c r="A37" s="9"/>
      <c r="B37" s="9"/>
      <c r="C37" s="9"/>
      <c r="D37" s="9"/>
      <c r="E37" s="9"/>
      <c r="F37" s="9"/>
      <c r="G37" s="9"/>
    </row>
    <row r="38" customFormat="false" ht="15" hidden="false" customHeight="true" outlineLevel="0" collapsed="false">
      <c r="A38" s="9"/>
      <c r="B38" s="9"/>
      <c r="C38" s="9"/>
      <c r="D38" s="9"/>
      <c r="E38" s="9"/>
      <c r="F38" s="9"/>
      <c r="G38" s="9"/>
    </row>
    <row r="39" customFormat="false" ht="15" hidden="false" customHeight="true" outlineLevel="0" collapsed="false">
      <c r="A39" s="9"/>
      <c r="B39" s="9"/>
      <c r="C39" s="9"/>
      <c r="D39" s="9"/>
      <c r="E39" s="9"/>
      <c r="F39" s="9"/>
      <c r="G39" s="9"/>
    </row>
    <row r="40" customFormat="false" ht="15" hidden="false" customHeight="true" outlineLevel="0" collapsed="false">
      <c r="A40" s="9"/>
      <c r="B40" s="9"/>
      <c r="C40" s="9"/>
      <c r="D40" s="9"/>
      <c r="E40" s="9"/>
      <c r="F40" s="9"/>
      <c r="G40" s="9"/>
    </row>
    <row r="41" customFormat="false" ht="15" hidden="false" customHeight="true" outlineLevel="0" collapsed="false">
      <c r="A41" s="9"/>
      <c r="B41" s="9"/>
      <c r="C41" s="9"/>
      <c r="D41" s="9"/>
      <c r="E41" s="9"/>
      <c r="F41" s="9"/>
      <c r="G41" s="9"/>
    </row>
    <row r="42" customFormat="false" ht="15" hidden="false" customHeight="true" outlineLevel="0" collapsed="false">
      <c r="A42" s="9"/>
      <c r="B42" s="9"/>
      <c r="C42" s="9"/>
      <c r="D42" s="9"/>
      <c r="E42" s="9"/>
      <c r="F42" s="9"/>
      <c r="G42" s="9"/>
    </row>
    <row r="43" customFormat="false" ht="15" hidden="false" customHeight="true" outlineLevel="0" collapsed="false">
      <c r="A43" s="9"/>
      <c r="B43" s="9"/>
      <c r="C43" s="9"/>
      <c r="D43" s="9"/>
      <c r="E43" s="9"/>
      <c r="F43" s="9"/>
      <c r="G43" s="9"/>
    </row>
    <row r="44" customFormat="false" ht="15" hidden="false" customHeight="true" outlineLevel="0" collapsed="false">
      <c r="A44" s="9"/>
      <c r="B44" s="9"/>
      <c r="C44" s="9"/>
      <c r="D44" s="9"/>
      <c r="E44" s="9"/>
      <c r="F44" s="9"/>
      <c r="G44" s="9"/>
    </row>
    <row r="45" customFormat="false" ht="15" hidden="false" customHeight="true" outlineLevel="0" collapsed="false">
      <c r="A45" s="9"/>
      <c r="B45" s="9"/>
      <c r="C45" s="9"/>
      <c r="D45" s="9"/>
      <c r="E45" s="9"/>
      <c r="F45" s="9"/>
      <c r="G45" s="9"/>
    </row>
    <row r="46" customFormat="false" ht="15" hidden="false" customHeight="true" outlineLevel="0" collapsed="false">
      <c r="A46" s="9"/>
      <c r="B46" s="9"/>
      <c r="C46" s="9"/>
      <c r="D46" s="9"/>
      <c r="E46" s="9"/>
      <c r="F46" s="9"/>
      <c r="G46" s="9"/>
    </row>
    <row r="47" customFormat="false" ht="15" hidden="false" customHeight="true" outlineLevel="0" collapsed="false">
      <c r="A47" s="9"/>
      <c r="B47" s="9"/>
      <c r="C47" s="9"/>
      <c r="D47" s="9"/>
      <c r="E47" s="9"/>
      <c r="F47" s="9"/>
      <c r="G47" s="9"/>
    </row>
    <row r="48" customFormat="false" ht="15" hidden="false" customHeight="true" outlineLevel="0" collapsed="false">
      <c r="A48" s="9"/>
      <c r="B48" s="9"/>
      <c r="C48" s="9"/>
      <c r="D48" s="9"/>
      <c r="E48" s="9"/>
      <c r="F48" s="9"/>
      <c r="G48" s="9"/>
    </row>
    <row r="49" customFormat="false" ht="15" hidden="false" customHeight="true" outlineLevel="0" collapsed="false">
      <c r="A49" s="9"/>
      <c r="B49" s="9"/>
      <c r="C49" s="9"/>
      <c r="D49" s="9"/>
      <c r="E49" s="9"/>
      <c r="F49" s="9"/>
      <c r="G49" s="9"/>
    </row>
    <row r="50" customFormat="false" ht="15" hidden="false" customHeight="true" outlineLevel="0" collapsed="false">
      <c r="A50" s="9"/>
      <c r="B50" s="9"/>
      <c r="C50" s="9"/>
      <c r="D50" s="9"/>
      <c r="E50" s="9"/>
      <c r="F50" s="9"/>
      <c r="G50" s="9"/>
    </row>
    <row r="51" customFormat="false" ht="15" hidden="false" customHeight="true" outlineLevel="0" collapsed="false">
      <c r="A51" s="9"/>
      <c r="B51" s="9"/>
      <c r="C51" s="9"/>
      <c r="D51" s="9"/>
      <c r="E51" s="9"/>
      <c r="F51" s="9"/>
      <c r="G51" s="9"/>
    </row>
    <row r="52" customFormat="false" ht="15" hidden="false" customHeight="true" outlineLevel="0" collapsed="false">
      <c r="A52" s="9"/>
      <c r="B52" s="9"/>
      <c r="C52" s="9"/>
      <c r="D52" s="9"/>
      <c r="E52" s="9"/>
      <c r="F52" s="9"/>
      <c r="G52" s="9"/>
    </row>
    <row r="53" customFormat="false" ht="15" hidden="false" customHeight="true" outlineLevel="0" collapsed="false">
      <c r="A53" s="9"/>
      <c r="B53" s="9"/>
      <c r="C53" s="9"/>
      <c r="D53" s="9"/>
      <c r="E53" s="9"/>
      <c r="F53" s="9"/>
      <c r="G53" s="9"/>
    </row>
    <row r="54" customFormat="false" ht="15" hidden="false" customHeight="true" outlineLevel="0" collapsed="false">
      <c r="A54" s="9"/>
      <c r="B54" s="9"/>
      <c r="C54" s="9"/>
      <c r="D54" s="9"/>
      <c r="E54" s="9"/>
      <c r="F54" s="9"/>
      <c r="G54" s="9"/>
    </row>
    <row r="55" customFormat="false" ht="15" hidden="false" customHeight="true" outlineLevel="0" collapsed="false">
      <c r="A55" s="9"/>
      <c r="B55" s="9"/>
      <c r="C55" s="9"/>
      <c r="D55" s="9"/>
      <c r="E55" s="9"/>
      <c r="F55" s="9"/>
      <c r="G55" s="9"/>
    </row>
    <row r="56" customFormat="false" ht="15" hidden="false" customHeight="true" outlineLevel="0" collapsed="false">
      <c r="A56" s="9"/>
      <c r="B56" s="9"/>
      <c r="C56" s="9"/>
      <c r="D56" s="9"/>
      <c r="E56" s="9"/>
      <c r="F56" s="9"/>
      <c r="G56" s="9"/>
    </row>
    <row r="57" customFormat="false" ht="15" hidden="false" customHeight="true" outlineLevel="0" collapsed="false">
      <c r="A57" s="9"/>
      <c r="B57" s="9"/>
      <c r="C57" s="9"/>
      <c r="D57" s="9"/>
      <c r="E57" s="9"/>
      <c r="F57" s="9"/>
      <c r="G57" s="9"/>
    </row>
    <row r="58" customFormat="false" ht="15" hidden="false" customHeight="true" outlineLevel="0" collapsed="false">
      <c r="A58" s="9"/>
      <c r="B58" s="9"/>
      <c r="C58" s="9"/>
      <c r="D58" s="9"/>
      <c r="E58" s="9"/>
      <c r="F58" s="9"/>
      <c r="G58" s="9"/>
    </row>
    <row r="59" customFormat="false" ht="15" hidden="false" customHeight="true" outlineLevel="0" collapsed="false">
      <c r="A59" s="9"/>
      <c r="B59" s="9"/>
      <c r="C59" s="9"/>
      <c r="D59" s="9"/>
      <c r="E59" s="9"/>
      <c r="F59" s="9"/>
      <c r="G59" s="9"/>
    </row>
    <row r="60" customFormat="false" ht="15" hidden="false" customHeight="true" outlineLevel="0" collapsed="false">
      <c r="A60" s="9"/>
      <c r="B60" s="9"/>
      <c r="C60" s="9"/>
      <c r="D60" s="9"/>
      <c r="E60" s="9"/>
      <c r="F60" s="9"/>
      <c r="G60" s="9"/>
    </row>
    <row r="61" customFormat="false" ht="15" hidden="false" customHeight="true" outlineLevel="0" collapsed="false">
      <c r="A61" s="9"/>
      <c r="B61" s="9"/>
      <c r="C61" s="9"/>
      <c r="D61" s="9"/>
      <c r="E61" s="9"/>
      <c r="F61" s="9"/>
      <c r="G61" s="9"/>
    </row>
    <row r="62" customFormat="false" ht="15" hidden="false" customHeight="true" outlineLevel="0" collapsed="false">
      <c r="A62" s="9"/>
      <c r="B62" s="9"/>
      <c r="C62" s="9"/>
      <c r="D62" s="9"/>
      <c r="E62" s="9"/>
      <c r="F62" s="9"/>
      <c r="G62" s="9"/>
    </row>
    <row r="63" customFormat="false" ht="15" hidden="false" customHeight="true" outlineLevel="0" collapsed="false">
      <c r="A63" s="9"/>
      <c r="B63" s="9"/>
      <c r="C63" s="9"/>
      <c r="D63" s="9"/>
      <c r="E63" s="9"/>
      <c r="F63" s="9"/>
      <c r="G63" s="9"/>
    </row>
    <row r="64" customFormat="false" ht="15" hidden="false" customHeight="true" outlineLevel="0" collapsed="false">
      <c r="A64" s="9"/>
      <c r="B64" s="9"/>
      <c r="C64" s="9"/>
      <c r="D64" s="9"/>
      <c r="E64" s="9"/>
      <c r="F64" s="9"/>
      <c r="G64" s="9"/>
    </row>
    <row r="65" customFormat="false" ht="15" hidden="false" customHeight="true" outlineLevel="0" collapsed="false">
      <c r="A65" s="9"/>
      <c r="B65" s="9"/>
      <c r="C65" s="9"/>
      <c r="D65" s="9"/>
      <c r="E65" s="9"/>
      <c r="F65" s="9"/>
      <c r="G65" s="9"/>
    </row>
    <row r="66" customFormat="false" ht="15" hidden="false" customHeight="true" outlineLevel="0" collapsed="false">
      <c r="A66" s="9"/>
      <c r="B66" s="9"/>
      <c r="C66" s="9"/>
      <c r="D66" s="9"/>
      <c r="E66" s="9"/>
      <c r="F66" s="9"/>
      <c r="G66" s="9"/>
    </row>
    <row r="67" customFormat="false" ht="15" hidden="false" customHeight="true" outlineLevel="0" collapsed="false">
      <c r="A67" s="9"/>
      <c r="B67" s="9"/>
      <c r="C67" s="9"/>
      <c r="D67" s="9"/>
      <c r="E67" s="9"/>
      <c r="F67" s="9"/>
      <c r="G67" s="9"/>
    </row>
    <row r="68" customFormat="false" ht="15" hidden="false" customHeight="true" outlineLevel="0" collapsed="false">
      <c r="A68" s="9"/>
      <c r="B68" s="9"/>
      <c r="C68" s="9"/>
      <c r="D68" s="9"/>
      <c r="E68" s="9"/>
      <c r="F68" s="9"/>
      <c r="G68" s="9"/>
    </row>
    <row r="69" customFormat="false" ht="15" hidden="false" customHeight="true" outlineLevel="0" collapsed="false">
      <c r="A69" s="9"/>
      <c r="B69" s="9"/>
      <c r="C69" s="9"/>
      <c r="D69" s="9"/>
      <c r="E69" s="9"/>
      <c r="F69" s="9"/>
      <c r="G69" s="9"/>
    </row>
    <row r="70" customFormat="false" ht="15" hidden="false" customHeight="true" outlineLevel="0" collapsed="false">
      <c r="A70" s="9"/>
      <c r="B70" s="9"/>
      <c r="C70" s="9"/>
      <c r="D70" s="9"/>
      <c r="E70" s="9"/>
      <c r="F70" s="9"/>
      <c r="G70" s="9"/>
    </row>
    <row r="71" customFormat="false" ht="15" hidden="false" customHeight="true" outlineLevel="0" collapsed="false">
      <c r="A71" s="9"/>
      <c r="B71" s="9"/>
      <c r="C71" s="9"/>
      <c r="D71" s="9"/>
      <c r="E71" s="9"/>
      <c r="F71" s="9"/>
      <c r="G71" s="9"/>
    </row>
    <row r="72" customFormat="false" ht="15" hidden="false" customHeight="true" outlineLevel="0" collapsed="false">
      <c r="A72" s="9"/>
      <c r="B72" s="9"/>
      <c r="C72" s="9"/>
      <c r="D72" s="9"/>
      <c r="E72" s="9"/>
      <c r="F72" s="9"/>
      <c r="G72" s="9"/>
    </row>
    <row r="73" customFormat="false" ht="15" hidden="false" customHeight="true" outlineLevel="0" collapsed="false">
      <c r="A73" s="9"/>
      <c r="B73" s="9"/>
      <c r="C73" s="9"/>
      <c r="D73" s="9"/>
      <c r="E73" s="9"/>
      <c r="F73" s="9"/>
      <c r="G73" s="9"/>
    </row>
    <row r="74" customFormat="false" ht="15" hidden="false" customHeight="true" outlineLevel="0" collapsed="false">
      <c r="A74" s="9"/>
      <c r="B74" s="9"/>
      <c r="C74" s="9"/>
      <c r="D74" s="9"/>
      <c r="E74" s="9"/>
      <c r="F74" s="9"/>
      <c r="G74" s="9"/>
    </row>
    <row r="75" customFormat="false" ht="15" hidden="false" customHeight="true" outlineLevel="0" collapsed="false">
      <c r="A75" s="9"/>
      <c r="B75" s="9"/>
      <c r="C75" s="9"/>
      <c r="D75" s="9"/>
      <c r="E75" s="9"/>
      <c r="F75" s="9"/>
      <c r="G75" s="9"/>
    </row>
    <row r="76" customFormat="false" ht="15" hidden="false" customHeight="true" outlineLevel="0" collapsed="false">
      <c r="A76" s="9"/>
      <c r="B76" s="9"/>
      <c r="C76" s="9"/>
      <c r="D76" s="9"/>
      <c r="E76" s="9"/>
      <c r="F76" s="9"/>
      <c r="G76" s="9"/>
    </row>
    <row r="77" customFormat="false" ht="15" hidden="false" customHeight="true" outlineLevel="0" collapsed="false">
      <c r="A77" s="9"/>
      <c r="B77" s="9"/>
      <c r="C77" s="9"/>
      <c r="D77" s="9"/>
      <c r="E77" s="9"/>
      <c r="F77" s="9"/>
      <c r="G77" s="9"/>
    </row>
    <row r="78" customFormat="false" ht="15" hidden="false" customHeight="true" outlineLevel="0" collapsed="false">
      <c r="A78" s="9"/>
      <c r="B78" s="9"/>
      <c r="C78" s="9"/>
      <c r="D78" s="9"/>
      <c r="E78" s="9"/>
      <c r="F78" s="9"/>
      <c r="G78" s="9"/>
    </row>
    <row r="79" customFormat="false" ht="15" hidden="false" customHeight="true" outlineLevel="0" collapsed="false">
      <c r="A79" s="9"/>
      <c r="B79" s="9"/>
      <c r="C79" s="9"/>
      <c r="D79" s="9"/>
      <c r="E79" s="9"/>
      <c r="F79" s="9"/>
      <c r="G79" s="9"/>
    </row>
    <row r="80" customFormat="false" ht="15" hidden="false" customHeight="true" outlineLevel="0" collapsed="false">
      <c r="A80" s="9"/>
      <c r="B80" s="9"/>
      <c r="C80" s="9"/>
      <c r="D80" s="9"/>
      <c r="E80" s="9"/>
      <c r="F80" s="9"/>
      <c r="G80" s="9"/>
    </row>
    <row r="81" customFormat="false" ht="15" hidden="false" customHeight="true" outlineLevel="0" collapsed="false">
      <c r="A81" s="9"/>
      <c r="B81" s="9"/>
      <c r="C81" s="9"/>
      <c r="D81" s="9"/>
      <c r="E81" s="9"/>
      <c r="F81" s="9"/>
      <c r="G81" s="9"/>
    </row>
    <row r="82" customFormat="false" ht="15" hidden="false" customHeight="true" outlineLevel="0" collapsed="false">
      <c r="A82" s="9"/>
      <c r="B82" s="9"/>
      <c r="C82" s="9"/>
      <c r="D82" s="9"/>
      <c r="E82" s="9"/>
      <c r="F82" s="9"/>
      <c r="G82" s="9"/>
    </row>
    <row r="83" customFormat="false" ht="15" hidden="false" customHeight="true" outlineLevel="0" collapsed="false">
      <c r="A83" s="9"/>
      <c r="B83" s="9"/>
      <c r="C83" s="9"/>
      <c r="D83" s="9"/>
      <c r="E83" s="9"/>
      <c r="F83" s="9"/>
      <c r="G83" s="9"/>
    </row>
    <row r="84" customFormat="false" ht="15" hidden="false" customHeight="true" outlineLevel="0" collapsed="false">
      <c r="A84" s="9"/>
      <c r="B84" s="9"/>
      <c r="C84" s="9"/>
      <c r="D84" s="9"/>
      <c r="E84" s="9"/>
      <c r="F84" s="9"/>
      <c r="G84" s="9"/>
    </row>
    <row r="85" customFormat="false" ht="15" hidden="false" customHeight="true" outlineLevel="0" collapsed="false">
      <c r="A85" s="9"/>
      <c r="B85" s="9"/>
      <c r="C85" s="9"/>
      <c r="D85" s="9"/>
      <c r="E85" s="9"/>
      <c r="F85" s="9"/>
      <c r="G85" s="9"/>
    </row>
    <row r="86" customFormat="false" ht="15" hidden="false" customHeight="true" outlineLevel="0" collapsed="false">
      <c r="A86" s="9"/>
      <c r="B86" s="9"/>
      <c r="C86" s="9"/>
      <c r="D86" s="9"/>
      <c r="E86" s="9"/>
      <c r="F86" s="9"/>
      <c r="G86" s="9"/>
    </row>
    <row r="87" customFormat="false" ht="15" hidden="false" customHeight="true" outlineLevel="0" collapsed="false">
      <c r="A87" s="9"/>
      <c r="B87" s="9"/>
      <c r="C87" s="9"/>
      <c r="D87" s="9"/>
      <c r="E87" s="9"/>
      <c r="F87" s="9"/>
      <c r="G87" s="9"/>
    </row>
    <row r="88" customFormat="false" ht="15" hidden="false" customHeight="true" outlineLevel="0" collapsed="false">
      <c r="A88" s="9"/>
      <c r="B88" s="9"/>
      <c r="C88" s="9"/>
      <c r="D88" s="9"/>
      <c r="E88" s="9"/>
      <c r="F88" s="9"/>
      <c r="G88" s="9"/>
    </row>
    <row r="89" customFormat="false" ht="15" hidden="false" customHeight="true" outlineLevel="0" collapsed="false">
      <c r="A89" s="9"/>
      <c r="B89" s="9"/>
      <c r="C89" s="9"/>
      <c r="D89" s="9"/>
      <c r="E89" s="9"/>
      <c r="F89" s="9"/>
      <c r="G89" s="9"/>
    </row>
    <row r="90" customFormat="false" ht="15" hidden="false" customHeight="true" outlineLevel="0" collapsed="false">
      <c r="A90" s="9"/>
      <c r="B90" s="9"/>
      <c r="C90" s="9"/>
      <c r="D90" s="9"/>
      <c r="E90" s="9"/>
      <c r="F90" s="9"/>
      <c r="G90" s="9"/>
    </row>
    <row r="91" customFormat="false" ht="15" hidden="false" customHeight="true" outlineLevel="0" collapsed="false">
      <c r="A91" s="9"/>
      <c r="B91" s="9"/>
      <c r="C91" s="9"/>
      <c r="D91" s="9"/>
      <c r="E91" s="9"/>
      <c r="F91" s="9"/>
      <c r="G91" s="9"/>
    </row>
    <row r="92" customFormat="false" ht="15" hidden="false" customHeight="true" outlineLevel="0" collapsed="false">
      <c r="A92" s="9"/>
      <c r="B92" s="9"/>
      <c r="C92" s="9"/>
      <c r="D92" s="9"/>
      <c r="E92" s="9"/>
      <c r="F92" s="9"/>
      <c r="G92" s="9"/>
    </row>
    <row r="93" customFormat="false" ht="15" hidden="false" customHeight="true" outlineLevel="0" collapsed="false">
      <c r="A93" s="9"/>
      <c r="B93" s="9"/>
      <c r="C93" s="9"/>
      <c r="D93" s="9"/>
      <c r="E93" s="9"/>
      <c r="F93" s="9"/>
      <c r="G93" s="9"/>
    </row>
    <row r="94" customFormat="false" ht="15" hidden="false" customHeight="true" outlineLevel="0" collapsed="false">
      <c r="A94" s="9"/>
      <c r="B94" s="9"/>
      <c r="C94" s="9"/>
      <c r="D94" s="9"/>
      <c r="E94" s="9"/>
      <c r="F94" s="9"/>
      <c r="G94" s="9"/>
    </row>
    <row r="95" customFormat="false" ht="15" hidden="false" customHeight="true" outlineLevel="0" collapsed="false">
      <c r="A95" s="9"/>
      <c r="B95" s="9"/>
      <c r="C95" s="9"/>
      <c r="D95" s="9"/>
      <c r="E95" s="9"/>
      <c r="F95" s="9"/>
      <c r="G95" s="9"/>
    </row>
    <row r="96" customFormat="false" ht="15" hidden="false" customHeight="true" outlineLevel="0" collapsed="false">
      <c r="A96" s="9"/>
      <c r="B96" s="9"/>
      <c r="C96" s="9"/>
      <c r="D96" s="9"/>
      <c r="E96" s="9"/>
      <c r="F96" s="9"/>
      <c r="G96" s="9"/>
    </row>
    <row r="97" customFormat="false" ht="15" hidden="false" customHeight="true" outlineLevel="0" collapsed="false">
      <c r="A97" s="9"/>
      <c r="B97" s="9"/>
      <c r="C97" s="9"/>
      <c r="D97" s="9"/>
      <c r="E97" s="9"/>
      <c r="F97" s="9"/>
      <c r="G97" s="9"/>
    </row>
    <row r="98" customFormat="false" ht="15" hidden="false" customHeight="true" outlineLevel="0" collapsed="false">
      <c r="A98" s="9"/>
      <c r="B98" s="9"/>
      <c r="C98" s="9"/>
      <c r="D98" s="9"/>
      <c r="E98" s="9"/>
      <c r="F98" s="9"/>
      <c r="G98" s="9"/>
    </row>
    <row r="99" customFormat="false" ht="15" hidden="false" customHeight="true" outlineLevel="0" collapsed="false">
      <c r="A99" s="9"/>
      <c r="B99" s="9"/>
      <c r="C99" s="9"/>
      <c r="D99" s="9"/>
      <c r="E99" s="9"/>
      <c r="F99" s="9"/>
      <c r="G99" s="9"/>
    </row>
    <row r="100" customFormat="false" ht="15" hidden="false" customHeight="true" outlineLevel="0" collapsed="false">
      <c r="A100" s="9"/>
      <c r="B100" s="9"/>
      <c r="C100" s="9"/>
      <c r="D100" s="9"/>
      <c r="E100" s="9"/>
      <c r="F100" s="9"/>
      <c r="G100" s="9"/>
    </row>
    <row r="101" customFormat="false" ht="15" hidden="false" customHeight="true" outlineLevel="0" collapsed="false">
      <c r="A101" s="9"/>
      <c r="B101" s="9"/>
      <c r="C101" s="9"/>
      <c r="D101" s="9"/>
      <c r="E101" s="9"/>
      <c r="F101" s="9"/>
      <c r="G101" s="9"/>
    </row>
    <row r="102" customFormat="false" ht="15" hidden="false" customHeight="true" outlineLevel="0" collapsed="false">
      <c r="A102" s="9"/>
      <c r="B102" s="9"/>
      <c r="C102" s="9"/>
      <c r="D102" s="9"/>
      <c r="E102" s="9"/>
      <c r="F102" s="9"/>
      <c r="G102" s="9"/>
    </row>
    <row r="103" customFormat="false" ht="15" hidden="false" customHeight="true" outlineLevel="0" collapsed="false">
      <c r="A103" s="9"/>
      <c r="B103" s="9"/>
      <c r="C103" s="9"/>
      <c r="D103" s="9"/>
      <c r="E103" s="9"/>
      <c r="F103" s="9"/>
      <c r="G103" s="9"/>
    </row>
    <row r="104" customFormat="false" ht="15" hidden="false" customHeight="true" outlineLevel="0" collapsed="false">
      <c r="A104" s="9"/>
      <c r="B104" s="9"/>
      <c r="C104" s="9"/>
      <c r="D104" s="9"/>
      <c r="E104" s="9"/>
      <c r="F104" s="9"/>
      <c r="G104" s="9"/>
    </row>
    <row r="105" customFormat="false" ht="15" hidden="false" customHeight="true" outlineLevel="0" collapsed="false">
      <c r="A105" s="9"/>
      <c r="B105" s="9"/>
      <c r="C105" s="9"/>
      <c r="D105" s="9"/>
      <c r="E105" s="9"/>
      <c r="F105" s="9"/>
      <c r="G105" s="9"/>
    </row>
    <row r="106" customFormat="false" ht="15" hidden="false" customHeight="true" outlineLevel="0" collapsed="false">
      <c r="A106" s="9"/>
      <c r="B106" s="9"/>
      <c r="C106" s="9"/>
      <c r="D106" s="9"/>
      <c r="E106" s="9"/>
      <c r="F106" s="9"/>
      <c r="G106" s="9"/>
    </row>
    <row r="107" customFormat="false" ht="15" hidden="false" customHeight="true" outlineLevel="0" collapsed="false">
      <c r="A107" s="9"/>
      <c r="B107" s="9"/>
      <c r="C107" s="9"/>
      <c r="D107" s="9"/>
      <c r="E107" s="9"/>
      <c r="F107" s="9"/>
      <c r="G107" s="9"/>
    </row>
    <row r="108" customFormat="false" ht="15" hidden="false" customHeight="true" outlineLevel="0" collapsed="false">
      <c r="A108" s="9"/>
      <c r="B108" s="9"/>
      <c r="C108" s="9"/>
      <c r="D108" s="9"/>
      <c r="E108" s="9"/>
      <c r="F108" s="9"/>
      <c r="G108" s="9"/>
    </row>
    <row r="109" customFormat="false" ht="15" hidden="false" customHeight="true" outlineLevel="0" collapsed="false">
      <c r="A109" s="9"/>
      <c r="B109" s="9"/>
      <c r="C109" s="9"/>
      <c r="D109" s="9"/>
      <c r="E109" s="9"/>
      <c r="F109" s="9"/>
      <c r="G109" s="9"/>
    </row>
    <row r="110" customFormat="false" ht="15" hidden="false" customHeight="true" outlineLevel="0" collapsed="false">
      <c r="A110" s="9"/>
      <c r="B110" s="9"/>
      <c r="C110" s="9"/>
      <c r="D110" s="9"/>
      <c r="E110" s="9"/>
      <c r="F110" s="9"/>
      <c r="G110" s="9"/>
    </row>
    <row r="111" customFormat="false" ht="15" hidden="false" customHeight="true" outlineLevel="0" collapsed="false">
      <c r="A111" s="9"/>
      <c r="B111" s="9"/>
      <c r="C111" s="9"/>
      <c r="D111" s="9"/>
      <c r="E111" s="9"/>
      <c r="F111" s="9"/>
      <c r="G111" s="9"/>
    </row>
    <row r="112" customFormat="false" ht="15" hidden="false" customHeight="true" outlineLevel="0" collapsed="false">
      <c r="A112" s="9"/>
      <c r="B112" s="9"/>
      <c r="C112" s="9"/>
      <c r="D112" s="9"/>
      <c r="E112" s="9"/>
      <c r="F112" s="9"/>
      <c r="G112" s="9"/>
    </row>
    <row r="113" customFormat="false" ht="15" hidden="false" customHeight="true" outlineLevel="0" collapsed="false">
      <c r="A113" s="9"/>
      <c r="B113" s="9"/>
      <c r="C113" s="9"/>
      <c r="D113" s="9"/>
      <c r="E113" s="9"/>
      <c r="F113" s="9"/>
      <c r="G113" s="9"/>
    </row>
    <row r="114" customFormat="false" ht="15" hidden="false" customHeight="true" outlineLevel="0" collapsed="false">
      <c r="A114" s="9"/>
      <c r="B114" s="9"/>
      <c r="C114" s="9"/>
      <c r="D114" s="9"/>
      <c r="E114" s="9"/>
      <c r="F114" s="9"/>
      <c r="G114" s="9"/>
    </row>
    <row r="115" customFormat="false" ht="15" hidden="false" customHeight="true" outlineLevel="0" collapsed="false">
      <c r="A115" s="9"/>
      <c r="B115" s="9"/>
      <c r="C115" s="9"/>
      <c r="D115" s="9"/>
      <c r="E115" s="9"/>
      <c r="F115" s="9"/>
      <c r="G115" s="9"/>
    </row>
    <row r="116" customFormat="false" ht="15" hidden="false" customHeight="true" outlineLevel="0" collapsed="false">
      <c r="A116" s="9"/>
      <c r="B116" s="9"/>
      <c r="C116" s="9"/>
      <c r="D116" s="9"/>
      <c r="E116" s="9"/>
      <c r="F116" s="9"/>
      <c r="G116" s="9"/>
    </row>
    <row r="117" customFormat="false" ht="15" hidden="false" customHeight="true" outlineLevel="0" collapsed="false">
      <c r="A117" s="9"/>
      <c r="B117" s="9"/>
      <c r="C117" s="9"/>
      <c r="D117" s="9"/>
      <c r="E117" s="9"/>
      <c r="F117" s="9"/>
      <c r="G117" s="9"/>
    </row>
    <row r="118" customFormat="false" ht="15" hidden="false" customHeight="true" outlineLevel="0" collapsed="false">
      <c r="A118" s="9"/>
      <c r="B118" s="9"/>
      <c r="C118" s="9"/>
      <c r="D118" s="9"/>
      <c r="E118" s="9"/>
      <c r="F118" s="9"/>
      <c r="G118" s="9"/>
    </row>
    <row r="119" customFormat="false" ht="15" hidden="false" customHeight="true" outlineLevel="0" collapsed="false">
      <c r="A119" s="9"/>
      <c r="B119" s="9"/>
      <c r="C119" s="9"/>
      <c r="D119" s="9"/>
      <c r="E119" s="9"/>
      <c r="F119" s="9"/>
      <c r="G119" s="9"/>
    </row>
    <row r="120" customFormat="false" ht="15" hidden="false" customHeight="true" outlineLevel="0" collapsed="false">
      <c r="A120" s="9"/>
      <c r="B120" s="9"/>
      <c r="C120" s="9"/>
      <c r="D120" s="9"/>
      <c r="E120" s="9"/>
      <c r="F120" s="9"/>
      <c r="G120" s="9"/>
    </row>
    <row r="121" customFormat="false" ht="15" hidden="false" customHeight="true" outlineLevel="0" collapsed="false">
      <c r="A121" s="9"/>
      <c r="B121" s="9"/>
      <c r="C121" s="9"/>
      <c r="D121" s="9"/>
      <c r="E121" s="9"/>
      <c r="F121" s="9"/>
      <c r="G121" s="9"/>
    </row>
    <row r="122" customFormat="false" ht="15" hidden="false" customHeight="true" outlineLevel="0" collapsed="false">
      <c r="A122" s="9"/>
      <c r="B122" s="9"/>
      <c r="C122" s="9"/>
      <c r="D122" s="9"/>
      <c r="E122" s="9"/>
      <c r="F122" s="9"/>
      <c r="G122" s="9"/>
    </row>
    <row r="123" customFormat="false" ht="15" hidden="false" customHeight="true" outlineLevel="0" collapsed="false">
      <c r="A123" s="9"/>
      <c r="B123" s="9"/>
      <c r="C123" s="9"/>
      <c r="D123" s="9"/>
      <c r="E123" s="9"/>
      <c r="F123" s="9"/>
      <c r="G123" s="9"/>
    </row>
    <row r="124" customFormat="false" ht="15" hidden="false" customHeight="true" outlineLevel="0" collapsed="false">
      <c r="A124" s="9"/>
      <c r="B124" s="9"/>
      <c r="C124" s="9"/>
      <c r="D124" s="9"/>
      <c r="E124" s="9"/>
      <c r="F124" s="9"/>
      <c r="G124" s="9"/>
    </row>
    <row r="125" customFormat="false" ht="15" hidden="false" customHeight="true" outlineLevel="0" collapsed="false">
      <c r="A125" s="9"/>
      <c r="B125" s="9"/>
      <c r="C125" s="9"/>
      <c r="D125" s="9"/>
      <c r="E125" s="9"/>
      <c r="F125" s="9"/>
      <c r="G125" s="9"/>
    </row>
    <row r="126" customFormat="false" ht="15" hidden="false" customHeight="true" outlineLevel="0" collapsed="false">
      <c r="A126" s="9"/>
      <c r="B126" s="9"/>
      <c r="C126" s="9"/>
      <c r="D126" s="9"/>
      <c r="E126" s="9"/>
      <c r="F126" s="9"/>
      <c r="G126" s="9"/>
    </row>
    <row r="127" customFormat="false" ht="15" hidden="false" customHeight="true" outlineLevel="0" collapsed="false">
      <c r="A127" s="9"/>
      <c r="B127" s="9"/>
      <c r="C127" s="9"/>
      <c r="D127" s="9"/>
      <c r="E127" s="9"/>
      <c r="F127" s="9"/>
      <c r="G127" s="9"/>
    </row>
    <row r="128" customFormat="false" ht="15" hidden="false" customHeight="true" outlineLevel="0" collapsed="false">
      <c r="A128" s="9"/>
      <c r="B128" s="9"/>
      <c r="C128" s="9"/>
      <c r="D128" s="9"/>
      <c r="E128" s="9"/>
      <c r="F128" s="9"/>
      <c r="G128" s="9"/>
    </row>
    <row r="129" customFormat="false" ht="15" hidden="false" customHeight="true" outlineLevel="0" collapsed="false">
      <c r="A129" s="9"/>
      <c r="B129" s="9"/>
      <c r="C129" s="9"/>
      <c r="D129" s="9"/>
      <c r="E129" s="9"/>
      <c r="F129" s="9"/>
      <c r="G129" s="9"/>
    </row>
    <row r="130" customFormat="false" ht="15" hidden="false" customHeight="true" outlineLevel="0" collapsed="false">
      <c r="A130" s="9"/>
      <c r="B130" s="9"/>
      <c r="C130" s="9"/>
      <c r="D130" s="9"/>
      <c r="E130" s="9"/>
      <c r="F130" s="9"/>
      <c r="G130" s="9"/>
    </row>
    <row r="131" customFormat="false" ht="15" hidden="false" customHeight="true" outlineLevel="0" collapsed="false">
      <c r="A131" s="9"/>
      <c r="B131" s="9"/>
      <c r="C131" s="9"/>
      <c r="D131" s="9"/>
      <c r="E131" s="9"/>
      <c r="F131" s="9"/>
      <c r="G131" s="9"/>
    </row>
    <row r="132" customFormat="false" ht="15" hidden="false" customHeight="true" outlineLevel="0" collapsed="false">
      <c r="A132" s="9"/>
      <c r="B132" s="9"/>
      <c r="C132" s="9"/>
      <c r="D132" s="9"/>
      <c r="E132" s="9"/>
      <c r="F132" s="9"/>
      <c r="G132" s="9"/>
    </row>
    <row r="133" customFormat="false" ht="15" hidden="false" customHeight="true" outlineLevel="0" collapsed="false">
      <c r="A133" s="9"/>
      <c r="B133" s="9"/>
      <c r="C133" s="9"/>
      <c r="D133" s="9"/>
      <c r="E133" s="9"/>
      <c r="F133" s="9"/>
      <c r="G133" s="9"/>
    </row>
    <row r="134" customFormat="false" ht="15" hidden="false" customHeight="true" outlineLevel="0" collapsed="false">
      <c r="A134" s="9"/>
      <c r="B134" s="9"/>
      <c r="C134" s="9"/>
      <c r="D134" s="9"/>
      <c r="E134" s="9"/>
      <c r="F134" s="9"/>
      <c r="G134" s="9"/>
    </row>
    <row r="135" customFormat="false" ht="15" hidden="false" customHeight="true" outlineLevel="0" collapsed="false">
      <c r="A135" s="9"/>
      <c r="B135" s="9"/>
      <c r="C135" s="9"/>
      <c r="D135" s="9"/>
      <c r="E135" s="9"/>
      <c r="F135" s="9"/>
      <c r="G135" s="9"/>
    </row>
    <row r="136" customFormat="false" ht="15" hidden="false" customHeight="true" outlineLevel="0" collapsed="false">
      <c r="A136" s="9"/>
      <c r="B136" s="9"/>
      <c r="C136" s="9"/>
      <c r="D136" s="9"/>
      <c r="E136" s="9"/>
      <c r="F136" s="9"/>
      <c r="G136" s="9"/>
    </row>
    <row r="137" customFormat="false" ht="15" hidden="false" customHeight="true" outlineLevel="0" collapsed="false">
      <c r="A137" s="9"/>
      <c r="B137" s="9"/>
      <c r="C137" s="9"/>
      <c r="D137" s="9"/>
      <c r="E137" s="9"/>
      <c r="F137" s="9"/>
      <c r="G137" s="9"/>
    </row>
    <row r="138" customFormat="false" ht="15" hidden="false" customHeight="true" outlineLevel="0" collapsed="false">
      <c r="A138" s="9"/>
      <c r="B138" s="9"/>
      <c r="C138" s="9"/>
      <c r="D138" s="9"/>
      <c r="E138" s="9"/>
      <c r="F138" s="9"/>
      <c r="G138" s="9"/>
    </row>
    <row r="139" customFormat="false" ht="15" hidden="false" customHeight="true" outlineLevel="0" collapsed="false">
      <c r="A139" s="9"/>
      <c r="B139" s="9"/>
      <c r="C139" s="9"/>
      <c r="D139" s="9"/>
      <c r="E139" s="9"/>
      <c r="F139" s="9"/>
      <c r="G139" s="9"/>
    </row>
    <row r="140" customFormat="false" ht="15" hidden="false" customHeight="true" outlineLevel="0" collapsed="false">
      <c r="A140" s="9"/>
      <c r="B140" s="9"/>
      <c r="C140" s="9"/>
      <c r="D140" s="9"/>
      <c r="E140" s="9"/>
      <c r="F140" s="9"/>
      <c r="G140" s="9"/>
    </row>
    <row r="141" customFormat="false" ht="15" hidden="false" customHeight="true" outlineLevel="0" collapsed="false">
      <c r="A141" s="9"/>
      <c r="B141" s="9"/>
      <c r="C141" s="9"/>
      <c r="D141" s="9"/>
      <c r="E141" s="9"/>
      <c r="F141" s="9"/>
      <c r="G141" s="9"/>
    </row>
    <row r="142" customFormat="false" ht="15" hidden="false" customHeight="true" outlineLevel="0" collapsed="false">
      <c r="A142" s="9"/>
      <c r="B142" s="9"/>
      <c r="C142" s="9"/>
      <c r="D142" s="9"/>
      <c r="E142" s="9"/>
      <c r="F142" s="9"/>
      <c r="G142" s="9"/>
    </row>
    <row r="143" customFormat="false" ht="15" hidden="false" customHeight="true" outlineLevel="0" collapsed="false">
      <c r="A143" s="9"/>
      <c r="B143" s="9"/>
      <c r="C143" s="9"/>
      <c r="D143" s="9"/>
      <c r="E143" s="9"/>
      <c r="F143" s="9"/>
      <c r="G143" s="9"/>
    </row>
    <row r="144" customFormat="false" ht="15" hidden="false" customHeight="true" outlineLevel="0" collapsed="false">
      <c r="A144" s="9"/>
      <c r="B144" s="9"/>
      <c r="C144" s="9"/>
      <c r="D144" s="9"/>
      <c r="E144" s="9"/>
      <c r="F144" s="9"/>
      <c r="G144" s="9"/>
    </row>
    <row r="145" customFormat="false" ht="15" hidden="false" customHeight="true" outlineLevel="0" collapsed="false">
      <c r="A145" s="9"/>
      <c r="B145" s="9"/>
      <c r="C145" s="9"/>
      <c r="D145" s="9"/>
      <c r="E145" s="9"/>
      <c r="F145" s="9"/>
      <c r="G145" s="9"/>
    </row>
    <row r="146" customFormat="false" ht="15" hidden="false" customHeight="true" outlineLevel="0" collapsed="false">
      <c r="A146" s="9"/>
      <c r="B146" s="9"/>
      <c r="C146" s="9"/>
      <c r="D146" s="9"/>
      <c r="E146" s="9"/>
      <c r="F146" s="9"/>
      <c r="G146" s="9"/>
    </row>
    <row r="147" customFormat="false" ht="15" hidden="false" customHeight="true" outlineLevel="0" collapsed="false">
      <c r="A147" s="9"/>
      <c r="B147" s="9"/>
      <c r="C147" s="9"/>
      <c r="D147" s="9"/>
      <c r="E147" s="9"/>
      <c r="F147" s="9"/>
      <c r="G147" s="9"/>
    </row>
    <row r="148" customFormat="false" ht="15" hidden="false" customHeight="true" outlineLevel="0" collapsed="false">
      <c r="A148" s="9"/>
      <c r="B148" s="9"/>
      <c r="C148" s="9"/>
      <c r="D148" s="9"/>
      <c r="E148" s="9"/>
      <c r="F148" s="9"/>
      <c r="G148" s="9"/>
    </row>
    <row r="149" customFormat="false" ht="15" hidden="false" customHeight="true" outlineLevel="0" collapsed="false">
      <c r="A149" s="9"/>
      <c r="B149" s="9"/>
      <c r="C149" s="9"/>
      <c r="D149" s="9"/>
      <c r="E149" s="9"/>
      <c r="F149" s="9"/>
      <c r="G149" s="9"/>
    </row>
    <row r="150" customFormat="false" ht="15" hidden="false" customHeight="true" outlineLevel="0" collapsed="false">
      <c r="A150" s="9"/>
      <c r="B150" s="9"/>
      <c r="C150" s="9"/>
      <c r="D150" s="9"/>
      <c r="E150" s="9"/>
      <c r="F150" s="9"/>
      <c r="G150" s="9"/>
    </row>
    <row r="151" customFormat="false" ht="15" hidden="false" customHeight="true" outlineLevel="0" collapsed="false">
      <c r="A151" s="9"/>
      <c r="B151" s="9"/>
      <c r="C151" s="9"/>
      <c r="D151" s="9"/>
      <c r="E151" s="9"/>
      <c r="F151" s="9"/>
      <c r="G151" s="9"/>
    </row>
    <row r="152" customFormat="false" ht="15" hidden="false" customHeight="true" outlineLevel="0" collapsed="false">
      <c r="A152" s="9"/>
      <c r="B152" s="9"/>
      <c r="C152" s="9"/>
      <c r="D152" s="9"/>
      <c r="E152" s="9"/>
      <c r="F152" s="9"/>
      <c r="G152" s="9"/>
    </row>
    <row r="153" customFormat="false" ht="15" hidden="false" customHeight="true" outlineLevel="0" collapsed="false">
      <c r="A153" s="9"/>
      <c r="B153" s="9"/>
      <c r="C153" s="9"/>
      <c r="D153" s="9"/>
      <c r="E153" s="9"/>
      <c r="F153" s="9"/>
      <c r="G153" s="9"/>
    </row>
    <row r="154" customFormat="false" ht="15" hidden="false" customHeight="true" outlineLevel="0" collapsed="false">
      <c r="A154" s="9"/>
      <c r="B154" s="9"/>
      <c r="C154" s="9"/>
      <c r="D154" s="9"/>
      <c r="E154" s="9"/>
      <c r="F154" s="9"/>
      <c r="G154" s="9"/>
    </row>
    <row r="155" customFormat="false" ht="15" hidden="false" customHeight="true" outlineLevel="0" collapsed="false">
      <c r="A155" s="9"/>
      <c r="B155" s="9"/>
      <c r="C155" s="9"/>
      <c r="D155" s="9"/>
      <c r="E155" s="9"/>
      <c r="F155" s="9"/>
      <c r="G155" s="9"/>
    </row>
    <row r="156" customFormat="false" ht="15" hidden="false" customHeight="true" outlineLevel="0" collapsed="false">
      <c r="A156" s="9"/>
      <c r="B156" s="9"/>
      <c r="C156" s="9"/>
      <c r="D156" s="9"/>
      <c r="E156" s="9"/>
      <c r="F156" s="9"/>
      <c r="G156" s="9"/>
    </row>
    <row r="157" customFormat="false" ht="15" hidden="false" customHeight="true" outlineLevel="0" collapsed="false">
      <c r="A157" s="9"/>
      <c r="B157" s="9"/>
      <c r="C157" s="9"/>
      <c r="D157" s="9"/>
      <c r="E157" s="9"/>
      <c r="F157" s="9"/>
      <c r="G157" s="9"/>
    </row>
    <row r="158" customFormat="false" ht="15" hidden="false" customHeight="true" outlineLevel="0" collapsed="false">
      <c r="A158" s="9"/>
      <c r="B158" s="9"/>
      <c r="C158" s="9"/>
      <c r="D158" s="9"/>
      <c r="E158" s="9"/>
      <c r="F158" s="9"/>
      <c r="G158" s="9"/>
    </row>
    <row r="159" customFormat="false" ht="15" hidden="false" customHeight="true" outlineLevel="0" collapsed="false">
      <c r="A159" s="9"/>
      <c r="B159" s="9"/>
      <c r="C159" s="9"/>
      <c r="D159" s="9"/>
      <c r="E159" s="9"/>
      <c r="F159" s="9"/>
      <c r="G159" s="9"/>
    </row>
    <row r="160" customFormat="false" ht="15" hidden="false" customHeight="true" outlineLevel="0" collapsed="false">
      <c r="A160" s="9"/>
      <c r="B160" s="9"/>
      <c r="C160" s="9"/>
      <c r="D160" s="9"/>
      <c r="E160" s="9"/>
      <c r="F160" s="9"/>
      <c r="G160" s="9"/>
    </row>
    <row r="161" customFormat="false" ht="15" hidden="false" customHeight="true" outlineLevel="0" collapsed="false">
      <c r="A161" s="9"/>
      <c r="B161" s="9"/>
      <c r="C161" s="9"/>
      <c r="D161" s="9"/>
      <c r="E161" s="9"/>
      <c r="F161" s="9"/>
      <c r="G161" s="9"/>
    </row>
    <row r="162" customFormat="false" ht="15" hidden="false" customHeight="true" outlineLevel="0" collapsed="false">
      <c r="A162" s="9"/>
      <c r="B162" s="9"/>
      <c r="C162" s="9"/>
      <c r="D162" s="9"/>
      <c r="E162" s="9"/>
      <c r="F162" s="9"/>
      <c r="G162" s="9"/>
    </row>
    <row r="163" customFormat="false" ht="15" hidden="false" customHeight="true" outlineLevel="0" collapsed="false">
      <c r="A163" s="9"/>
      <c r="B163" s="9"/>
      <c r="C163" s="9"/>
      <c r="D163" s="9"/>
      <c r="E163" s="9"/>
      <c r="F163" s="9"/>
      <c r="G163" s="9"/>
    </row>
    <row r="164" customFormat="false" ht="15" hidden="false" customHeight="true" outlineLevel="0" collapsed="false">
      <c r="A164" s="9"/>
      <c r="B164" s="9"/>
      <c r="C164" s="9"/>
      <c r="D164" s="9"/>
      <c r="E164" s="9"/>
      <c r="F164" s="9"/>
      <c r="G164" s="9"/>
    </row>
    <row r="165" customFormat="false" ht="15" hidden="false" customHeight="true" outlineLevel="0" collapsed="false">
      <c r="A165" s="9"/>
      <c r="B165" s="9"/>
      <c r="C165" s="9"/>
      <c r="D165" s="9"/>
      <c r="E165" s="9"/>
      <c r="F165" s="9"/>
      <c r="G165" s="9"/>
    </row>
    <row r="166" customFormat="false" ht="15" hidden="false" customHeight="true" outlineLevel="0" collapsed="false">
      <c r="A166" s="9"/>
      <c r="B166" s="9"/>
      <c r="C166" s="9"/>
      <c r="D166" s="9"/>
      <c r="E166" s="9"/>
      <c r="F166" s="9"/>
      <c r="G166" s="9"/>
    </row>
    <row r="167" customFormat="false" ht="15" hidden="false" customHeight="true" outlineLevel="0" collapsed="false">
      <c r="A167" s="9"/>
      <c r="B167" s="9"/>
      <c r="C167" s="9"/>
      <c r="D167" s="9"/>
      <c r="E167" s="9"/>
      <c r="F167" s="9"/>
      <c r="G167" s="9"/>
    </row>
    <row r="168" customFormat="false" ht="15" hidden="false" customHeight="true" outlineLevel="0" collapsed="false">
      <c r="A168" s="9"/>
      <c r="B168" s="9"/>
      <c r="C168" s="9"/>
      <c r="D168" s="9"/>
      <c r="E168" s="9"/>
      <c r="F168" s="9"/>
      <c r="G168" s="9"/>
    </row>
    <row r="169" customFormat="false" ht="15" hidden="false" customHeight="true" outlineLevel="0" collapsed="false">
      <c r="A169" s="9"/>
      <c r="B169" s="9"/>
      <c r="C169" s="9"/>
      <c r="D169" s="9"/>
      <c r="E169" s="9"/>
      <c r="F169" s="9"/>
      <c r="G169" s="9"/>
    </row>
    <row r="170" customFormat="false" ht="15" hidden="false" customHeight="true" outlineLevel="0" collapsed="false">
      <c r="A170" s="9"/>
      <c r="B170" s="9"/>
      <c r="C170" s="9"/>
      <c r="D170" s="9"/>
      <c r="E170" s="9"/>
      <c r="F170" s="9"/>
      <c r="G170" s="9"/>
    </row>
    <row r="171" customFormat="false" ht="15" hidden="false" customHeight="true" outlineLevel="0" collapsed="false">
      <c r="A171" s="9"/>
      <c r="B171" s="9"/>
      <c r="C171" s="9"/>
      <c r="D171" s="9"/>
      <c r="E171" s="9"/>
      <c r="F171" s="9"/>
      <c r="G171" s="9"/>
    </row>
    <row r="172" customFormat="false" ht="15" hidden="false" customHeight="true" outlineLevel="0" collapsed="false">
      <c r="A172" s="9"/>
      <c r="B172" s="9"/>
      <c r="C172" s="9"/>
      <c r="D172" s="9"/>
      <c r="E172" s="9"/>
      <c r="F172" s="9"/>
      <c r="G172" s="9"/>
    </row>
    <row r="173" customFormat="false" ht="15" hidden="false" customHeight="true" outlineLevel="0" collapsed="false">
      <c r="A173" s="9"/>
      <c r="B173" s="9"/>
      <c r="C173" s="9"/>
      <c r="D173" s="9"/>
      <c r="E173" s="9"/>
      <c r="F173" s="9"/>
      <c r="G173" s="9"/>
    </row>
    <row r="174" customFormat="false" ht="15" hidden="false" customHeight="true" outlineLevel="0" collapsed="false">
      <c r="A174" s="9"/>
      <c r="B174" s="9"/>
      <c r="C174" s="9"/>
      <c r="D174" s="9"/>
      <c r="E174" s="9"/>
      <c r="F174" s="9"/>
      <c r="G174" s="9"/>
    </row>
    <row r="175" customFormat="false" ht="15" hidden="false" customHeight="true" outlineLevel="0" collapsed="false">
      <c r="A175" s="9"/>
      <c r="B175" s="9"/>
      <c r="C175" s="9"/>
      <c r="D175" s="9"/>
      <c r="E175" s="9"/>
      <c r="F175" s="9"/>
      <c r="G175" s="9"/>
    </row>
    <row r="176" customFormat="false" ht="15" hidden="false" customHeight="true" outlineLevel="0" collapsed="false">
      <c r="A176" s="9"/>
      <c r="B176" s="9"/>
      <c r="C176" s="9"/>
      <c r="D176" s="9"/>
      <c r="E176" s="9"/>
      <c r="F176" s="9"/>
      <c r="G176" s="9"/>
    </row>
    <row r="177" customFormat="false" ht="15" hidden="false" customHeight="true" outlineLevel="0" collapsed="false">
      <c r="A177" s="9"/>
      <c r="B177" s="9"/>
      <c r="C177" s="9"/>
      <c r="D177" s="9"/>
      <c r="E177" s="9"/>
      <c r="F177" s="9"/>
      <c r="G177" s="9"/>
    </row>
    <row r="178" customFormat="false" ht="15" hidden="false" customHeight="true" outlineLevel="0" collapsed="false">
      <c r="A178" s="9"/>
      <c r="B178" s="9"/>
      <c r="C178" s="9"/>
      <c r="D178" s="9"/>
      <c r="E178" s="9"/>
      <c r="F178" s="9"/>
      <c r="G178" s="9"/>
    </row>
    <row r="179" customFormat="false" ht="15" hidden="false" customHeight="true" outlineLevel="0" collapsed="false">
      <c r="A179" s="9"/>
      <c r="B179" s="9"/>
      <c r="C179" s="9"/>
      <c r="D179" s="9"/>
      <c r="E179" s="9"/>
      <c r="F179" s="9"/>
      <c r="G179" s="9"/>
    </row>
    <row r="180" customFormat="false" ht="15" hidden="false" customHeight="true" outlineLevel="0" collapsed="false">
      <c r="A180" s="9"/>
      <c r="B180" s="9"/>
      <c r="C180" s="9"/>
      <c r="D180" s="9"/>
      <c r="E180" s="9"/>
      <c r="F180" s="9"/>
      <c r="G180" s="9"/>
    </row>
    <row r="181" customFormat="false" ht="15" hidden="false" customHeight="true" outlineLevel="0" collapsed="false">
      <c r="A181" s="9"/>
      <c r="B181" s="9"/>
      <c r="C181" s="9"/>
      <c r="D181" s="9"/>
      <c r="E181" s="9"/>
      <c r="F181" s="9"/>
      <c r="G181" s="9"/>
    </row>
    <row r="182" customFormat="false" ht="15" hidden="false" customHeight="true" outlineLevel="0" collapsed="false">
      <c r="A182" s="9"/>
      <c r="B182" s="9"/>
      <c r="C182" s="9"/>
      <c r="D182" s="9"/>
      <c r="E182" s="9"/>
      <c r="F182" s="9"/>
      <c r="G182" s="9"/>
    </row>
    <row r="183" customFormat="false" ht="15" hidden="false" customHeight="true" outlineLevel="0" collapsed="false">
      <c r="A183" s="9"/>
      <c r="B183" s="9"/>
      <c r="C183" s="9"/>
      <c r="D183" s="9"/>
      <c r="E183" s="9"/>
      <c r="F183" s="9"/>
      <c r="G183" s="9"/>
    </row>
    <row r="184" customFormat="false" ht="15" hidden="false" customHeight="true" outlineLevel="0" collapsed="false">
      <c r="A184" s="9"/>
      <c r="B184" s="9"/>
      <c r="C184" s="9"/>
      <c r="D184" s="9"/>
      <c r="E184" s="9"/>
      <c r="F184" s="9"/>
      <c r="G184" s="9"/>
    </row>
    <row r="185" customFormat="false" ht="15" hidden="false" customHeight="true" outlineLevel="0" collapsed="false">
      <c r="A185" s="9"/>
      <c r="B185" s="9"/>
      <c r="C185" s="9"/>
      <c r="D185" s="9"/>
      <c r="E185" s="9"/>
      <c r="F185" s="9"/>
      <c r="G185" s="9"/>
    </row>
    <row r="186" customFormat="false" ht="15" hidden="false" customHeight="true" outlineLevel="0" collapsed="false">
      <c r="A186" s="9"/>
      <c r="B186" s="9"/>
      <c r="C186" s="9"/>
      <c r="D186" s="9"/>
      <c r="E186" s="9"/>
      <c r="F186" s="9"/>
      <c r="G186" s="9"/>
    </row>
    <row r="187" customFormat="false" ht="15" hidden="false" customHeight="true" outlineLevel="0" collapsed="false">
      <c r="A187" s="9"/>
      <c r="B187" s="9"/>
      <c r="C187" s="9"/>
      <c r="D187" s="9"/>
      <c r="E187" s="9"/>
      <c r="F187" s="9"/>
      <c r="G187" s="9"/>
    </row>
    <row r="188" customFormat="false" ht="15" hidden="false" customHeight="true" outlineLevel="0" collapsed="false">
      <c r="A188" s="9"/>
      <c r="B188" s="9"/>
      <c r="C188" s="9"/>
      <c r="D188" s="9"/>
      <c r="E188" s="9"/>
      <c r="F188" s="9"/>
      <c r="G188" s="9"/>
    </row>
    <row r="189" customFormat="false" ht="15" hidden="false" customHeight="true" outlineLevel="0" collapsed="false">
      <c r="A189" s="9"/>
      <c r="B189" s="9"/>
      <c r="C189" s="9"/>
      <c r="D189" s="9"/>
      <c r="E189" s="9"/>
      <c r="F189" s="9"/>
      <c r="G189" s="9"/>
    </row>
    <row r="190" customFormat="false" ht="15" hidden="false" customHeight="true" outlineLevel="0" collapsed="false">
      <c r="A190" s="9"/>
      <c r="B190" s="9"/>
      <c r="C190" s="9"/>
      <c r="D190" s="9"/>
      <c r="E190" s="9"/>
      <c r="F190" s="9"/>
      <c r="G190" s="9"/>
    </row>
    <row r="191" customFormat="false" ht="15" hidden="false" customHeight="true" outlineLevel="0" collapsed="false">
      <c r="A191" s="9"/>
      <c r="B191" s="9"/>
      <c r="C191" s="9"/>
      <c r="D191" s="9"/>
      <c r="E191" s="9"/>
      <c r="F191" s="9"/>
      <c r="G191" s="9"/>
    </row>
    <row r="192" customFormat="false" ht="15" hidden="false" customHeight="true" outlineLevel="0" collapsed="false">
      <c r="A192" s="9"/>
      <c r="B192" s="9"/>
      <c r="C192" s="9"/>
      <c r="D192" s="9"/>
      <c r="E192" s="9"/>
      <c r="F192" s="9"/>
      <c r="G192" s="9"/>
    </row>
    <row r="193" customFormat="false" ht="15" hidden="false" customHeight="true" outlineLevel="0" collapsed="false">
      <c r="A193" s="9"/>
      <c r="B193" s="9"/>
      <c r="C193" s="9"/>
      <c r="D193" s="9"/>
      <c r="E193" s="9"/>
      <c r="F193" s="9"/>
      <c r="G193" s="9"/>
    </row>
    <row r="194" customFormat="false" ht="15" hidden="false" customHeight="true" outlineLevel="0" collapsed="false">
      <c r="A194" s="9"/>
      <c r="B194" s="9"/>
      <c r="C194" s="9"/>
      <c r="D194" s="9"/>
      <c r="E194" s="9"/>
      <c r="F194" s="9"/>
      <c r="G194" s="9"/>
    </row>
    <row r="195" customFormat="false" ht="15" hidden="false" customHeight="true" outlineLevel="0" collapsed="false">
      <c r="A195" s="9"/>
      <c r="B195" s="9"/>
      <c r="C195" s="9"/>
      <c r="D195" s="9"/>
      <c r="E195" s="9"/>
      <c r="F195" s="9"/>
      <c r="G195" s="9"/>
    </row>
    <row r="196" customFormat="false" ht="15" hidden="false" customHeight="true" outlineLevel="0" collapsed="false">
      <c r="A196" s="9"/>
      <c r="B196" s="9"/>
      <c r="C196" s="9"/>
      <c r="D196" s="9"/>
      <c r="E196" s="9"/>
      <c r="F196" s="9"/>
      <c r="G196" s="9"/>
    </row>
    <row r="197" customFormat="false" ht="15" hidden="false" customHeight="true" outlineLevel="0" collapsed="false">
      <c r="A197" s="9"/>
      <c r="B197" s="9"/>
      <c r="C197" s="9"/>
      <c r="D197" s="9"/>
      <c r="E197" s="9"/>
      <c r="F197" s="9"/>
      <c r="G197" s="9"/>
    </row>
    <row r="198" customFormat="false" ht="15" hidden="false" customHeight="true" outlineLevel="0" collapsed="false">
      <c r="A198" s="9"/>
      <c r="B198" s="9"/>
      <c r="C198" s="9"/>
      <c r="D198" s="9"/>
      <c r="E198" s="9"/>
      <c r="F198" s="9"/>
      <c r="G198" s="9"/>
    </row>
    <row r="199" customFormat="false" ht="15" hidden="false" customHeight="true" outlineLevel="0" collapsed="false">
      <c r="A199" s="9"/>
      <c r="B199" s="9"/>
      <c r="C199" s="9"/>
      <c r="D199" s="9"/>
      <c r="E199" s="9"/>
      <c r="F199" s="9"/>
      <c r="G199" s="9"/>
    </row>
    <row r="200" customFormat="false" ht="15" hidden="false" customHeight="true" outlineLevel="0" collapsed="false">
      <c r="A200" s="9"/>
      <c r="B200" s="9"/>
      <c r="C200" s="9"/>
      <c r="D200" s="9"/>
      <c r="E200" s="9"/>
      <c r="F200" s="9"/>
      <c r="G200" s="9"/>
    </row>
    <row r="201" customFormat="false" ht="15" hidden="false" customHeight="true" outlineLevel="0" collapsed="false">
      <c r="A201" s="9"/>
      <c r="B201" s="9"/>
      <c r="C201" s="9"/>
      <c r="D201" s="9"/>
      <c r="E201" s="9"/>
      <c r="F201" s="9"/>
      <c r="G201" s="9"/>
    </row>
    <row r="202" customFormat="false" ht="15" hidden="false" customHeight="true" outlineLevel="0" collapsed="false">
      <c r="A202" s="9"/>
      <c r="B202" s="9"/>
      <c r="C202" s="9"/>
      <c r="D202" s="9"/>
      <c r="E202" s="9"/>
      <c r="F202" s="9"/>
      <c r="G202" s="9"/>
    </row>
    <row r="203" customFormat="false" ht="15" hidden="false" customHeight="true" outlineLevel="0" collapsed="false">
      <c r="A203" s="9"/>
      <c r="B203" s="9"/>
      <c r="C203" s="9"/>
      <c r="D203" s="9"/>
      <c r="E203" s="9"/>
      <c r="F203" s="9"/>
      <c r="G203" s="9"/>
    </row>
    <row r="204" customFormat="false" ht="15" hidden="false" customHeight="true" outlineLevel="0" collapsed="false">
      <c r="A204" s="9"/>
      <c r="B204" s="9"/>
      <c r="C204" s="9"/>
      <c r="D204" s="9"/>
      <c r="E204" s="9"/>
      <c r="F204" s="9"/>
      <c r="G204" s="9"/>
    </row>
    <row r="205" customFormat="false" ht="15" hidden="false" customHeight="true" outlineLevel="0" collapsed="false">
      <c r="A205" s="9"/>
      <c r="B205" s="9"/>
      <c r="C205" s="9"/>
      <c r="D205" s="9"/>
      <c r="E205" s="9"/>
      <c r="F205" s="9"/>
      <c r="G205" s="9"/>
    </row>
  </sheetData>
  <dataValidations count="4">
    <dataValidation allowBlank="true" errorStyle="stop" operator="between" showDropDown="false" showErrorMessage="false" showInputMessage="false" sqref="B6:B205" type="list">
      <formula1>"A-C,D,weekend invite,B2B,friends &amp; family"</formula1>
      <formula2>0</formula2>
    </dataValidation>
    <dataValidation allowBlank="true" errorStyle="stop" operator="between" showDropDown="false" showErrorMessage="false" showInputMessage="false" sqref="D6:D205" type="list">
      <formula1>"Facebook,Reddit,Meetup,WhatsApp,other"</formula1>
      <formula2>0</formula2>
    </dataValidation>
    <dataValidation allowBlank="true" errorStyle="stop" operator="between" showDropDown="false" showErrorMessage="false" showInputMessage="false" sqref="F6:F205" type="whole">
      <formula1>0</formula1>
      <formula2>600</formula2>
    </dataValidation>
    <dataValidation allowBlank="true" errorStyle="stop" operator="between" showDropDown="false" showErrorMessage="false" showInputMessage="false" sqref="G6:G205" type="whole">
      <formula1>0</formula1>
      <formula2>1000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5" min="4" style="1" width="12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9" min="8" style="1" width="12"/>
    <col collapsed="false" customWidth="true" hidden="false" outlineLevel="0" max="10" min="10" style="1" width="40"/>
    <col collapsed="false" customWidth="true" hidden="false" outlineLevel="0" max="11" min="11" style="1" width="14"/>
    <col collapsed="false" customWidth="true" hidden="false" outlineLevel="0" max="12" min="12" style="1" width="30"/>
  </cols>
  <sheetData>
    <row r="1" customFormat="false" ht="17.25" hidden="false" customHeight="true" outlineLevel="0" collapsed="false">
      <c r="A1" s="6" t="s">
        <v>228</v>
      </c>
    </row>
    <row r="2" customFormat="false" ht="15" hidden="false" customHeight="true" outlineLevel="0" collapsed="false">
      <c r="A2" s="7" t="s">
        <v>229</v>
      </c>
    </row>
    <row r="3" customFormat="false" ht="15" hidden="false" customHeight="true" outlineLevel="0" collapsed="false">
      <c r="A3" s="21" t="s">
        <v>89</v>
      </c>
    </row>
    <row r="4" customFormat="false" ht="15" hidden="false" customHeight="true" outlineLevel="0" collapsed="false">
      <c r="A4" s="22" t="s">
        <v>230</v>
      </c>
      <c r="B4" s="22" t="s">
        <v>231</v>
      </c>
      <c r="C4" s="22" t="s">
        <v>232</v>
      </c>
      <c r="D4" s="22" t="s">
        <v>233</v>
      </c>
      <c r="E4" s="22" t="n">
        <v>120</v>
      </c>
      <c r="F4" s="22" t="s">
        <v>234</v>
      </c>
      <c r="G4" s="22" t="n">
        <v>0</v>
      </c>
      <c r="H4" s="22" t="n">
        <v>6</v>
      </c>
      <c r="I4" s="22" t="s">
        <v>95</v>
      </c>
      <c r="J4" s="22" t="s">
        <v>235</v>
      </c>
      <c r="K4" s="22" t="s">
        <v>236</v>
      </c>
      <c r="L4" s="22" t="s">
        <v>237</v>
      </c>
    </row>
    <row r="5" customFormat="false" ht="42" hidden="false" customHeight="true" outlineLevel="0" collapsed="false">
      <c r="A5" s="23" t="s">
        <v>104</v>
      </c>
      <c r="B5" s="23" t="s">
        <v>238</v>
      </c>
      <c r="C5" s="23" t="s">
        <v>239</v>
      </c>
      <c r="D5" s="23" t="s">
        <v>207</v>
      </c>
      <c r="E5" s="23" t="s">
        <v>240</v>
      </c>
      <c r="F5" s="23" t="s">
        <v>241</v>
      </c>
      <c r="G5" s="23" t="s">
        <v>242</v>
      </c>
      <c r="H5" s="23" t="s">
        <v>243</v>
      </c>
      <c r="I5" s="23" t="s">
        <v>244</v>
      </c>
      <c r="J5" s="23" t="s">
        <v>245</v>
      </c>
      <c r="K5" s="23" t="s">
        <v>246</v>
      </c>
      <c r="L5" s="23" t="s">
        <v>215</v>
      </c>
    </row>
    <row r="6" customFormat="false" ht="15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customFormat="false" ht="15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customFormat="false" ht="15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customFormat="false" ht="15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customFormat="false" ht="1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customFormat="false" ht="1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customFormat="false" ht="1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customFormat="false" ht="1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customFormat="false" ht="1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customFormat="false" ht="1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1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customFormat="false" ht="1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customFormat="false" ht="1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customFormat="false" ht="1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customFormat="false" ht="1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customFormat="false" ht="1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customFormat="false" ht="1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customFormat="false" ht="15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customFormat="false" ht="1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customFormat="false" ht="1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customFormat="false" ht="1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customFormat="false" ht="1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customFormat="false" ht="1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customFormat="false" ht="1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customFormat="false" ht="1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customFormat="false" ht="1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customFormat="false" ht="1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customFormat="false" ht="1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customFormat="false" ht="1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customFormat="false" ht="1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customFormat="false" ht="1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customFormat="false" ht="1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customFormat="false" ht="1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customFormat="false" ht="1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customFormat="false" ht="1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customFormat="false" ht="15" hidden="false" customHeight="tru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customFormat="false" ht="15" hidden="false" customHeight="tru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customFormat="false" ht="15" hidden="false" customHeight="tru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customFormat="false" ht="15" hidden="false" customHeight="tru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customFormat="false" ht="15" hidden="false" customHeight="tru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customFormat="false" ht="15" hidden="false" customHeight="tru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customFormat="false" ht="15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customFormat="false" ht="15" hidden="false" customHeight="tru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customFormat="false" ht="15" hidden="false" customHeight="tru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customFormat="false" ht="15" hidden="false" customHeight="tru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customFormat="false" ht="15" hidden="false" customHeight="tru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customFormat="false" ht="15" hidden="false" customHeight="tru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customFormat="false" ht="15" hidden="false" customHeight="tru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customFormat="false" ht="15" hidden="false" customHeight="tru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customFormat="false" ht="15" hidden="false" customHeight="tru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customFormat="false" ht="15" hidden="false" customHeight="tru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customFormat="false" ht="15" hidden="false" customHeight="tru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customFormat="false" ht="15" hidden="false" customHeight="tru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customFormat="false" ht="15" hidden="false" customHeight="tru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customFormat="false" ht="15" hidden="false" customHeight="tru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customFormat="false" ht="15" hidden="false" customHeight="tru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customFormat="false" ht="15" hidden="false" customHeight="tru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customFormat="false" ht="15" hidden="false" customHeight="tru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customFormat="false" ht="15" hidden="false" customHeight="tru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customFormat="false" ht="15" hidden="false" customHeight="tru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customFormat="false" ht="15" hidden="false" customHeight="tru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customFormat="false" ht="15" hidden="false" customHeight="tru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customFormat="false" ht="15" hidden="false" customHeight="tru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customFormat="false" ht="15" hidden="false" customHeight="tru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customFormat="false" ht="15" hidden="false" customHeight="tru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customFormat="false" ht="15" hidden="false" customHeight="tru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customFormat="false" ht="15" hidden="false" customHeight="tru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customFormat="false" ht="15" hidden="false" customHeight="tru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customFormat="false" ht="15" hidden="false" customHeight="tru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customFormat="false" ht="15" hidden="false" customHeight="tru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customFormat="false" ht="15" hidden="false" customHeight="tru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customFormat="false" ht="15" hidden="false" customHeight="tru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customFormat="false" ht="15" hidden="false" customHeight="tru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customFormat="false" ht="15" hidden="false" customHeight="tru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customFormat="false" ht="15" hidden="false" customHeight="tru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customFormat="false" ht="15" hidden="false" customHeight="tru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customFormat="false" ht="15" hidden="false" customHeight="tru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customFormat="false" ht="15" hidden="false" customHeight="tru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customFormat="false" ht="15" hidden="false" customHeight="tru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customFormat="false" ht="15" hidden="false" customHeight="tru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customFormat="false" ht="15" hidden="false" customHeight="tru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customFormat="false" ht="15" hidden="false" customHeight="tru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customFormat="false" ht="15" hidden="false" customHeight="tru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customFormat="false" ht="15" hidden="false" customHeight="tru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customFormat="false" ht="15" hidden="false" customHeight="tru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customFormat="false" ht="15" hidden="false" customHeight="tru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customFormat="false" ht="15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customFormat="false" ht="15" hidden="false" customHeight="tru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customFormat="false" ht="15" hidden="false" customHeight="tru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customFormat="false" ht="15" hidden="false" customHeight="tru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customFormat="false" ht="1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customFormat="false" ht="1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customFormat="false" ht="1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customFormat="false" ht="15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customFormat="false" ht="15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customFormat="false" ht="15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customFormat="false" ht="15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customFormat="false" ht="1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customFormat="false" ht="1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customFormat="false" ht="1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customFormat="false" ht="1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customFormat="false" ht="1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customFormat="false" ht="1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customFormat="false" ht="1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customFormat="false" ht="1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customFormat="false" ht="1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customFormat="false" ht="1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customFormat="false" ht="1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customFormat="false" ht="1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customFormat="false" ht="1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customFormat="false" ht="1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customFormat="false" ht="1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customFormat="false" ht="1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customFormat="false" ht="1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customFormat="false" ht="1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customFormat="false" ht="1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customFormat="false" ht="1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customFormat="false" ht="1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customFormat="false" ht="1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customFormat="false" ht="1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customFormat="false" ht="1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customFormat="false" ht="1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customFormat="false" ht="1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customFormat="false" ht="1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customFormat="false" ht="1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customFormat="false" ht="1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customFormat="false" ht="1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customFormat="false" ht="1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customFormat="false" ht="1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customFormat="false" ht="1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customFormat="false" ht="1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customFormat="false" ht="1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customFormat="false" ht="1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customFormat="false" ht="1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customFormat="false" ht="1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customFormat="false" ht="1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customFormat="false" ht="1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customFormat="false" ht="1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customFormat="false" ht="1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customFormat="false" ht="1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customFormat="false" ht="1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customFormat="false" ht="1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customFormat="false" ht="1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customFormat="false" ht="1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customFormat="false" ht="1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customFormat="false" ht="1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customFormat="false" ht="1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customFormat="false" ht="1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customFormat="false" ht="1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customFormat="false" ht="1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customFormat="false" ht="1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customFormat="false" ht="1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customFormat="false" ht="1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customFormat="false" ht="1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customFormat="false" ht="1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customFormat="false" ht="1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customFormat="false" ht="1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customFormat="false" ht="1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customFormat="false" ht="1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customFormat="false" ht="1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customFormat="false" ht="1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customFormat="false" ht="1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customFormat="false" ht="1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customFormat="false" ht="1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customFormat="false" ht="1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customFormat="false" ht="1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customFormat="false" ht="1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customFormat="false" ht="1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customFormat="false" ht="1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</row>
    <row r="175" customFormat="false" ht="1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customFormat="false" ht="1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customFormat="false" ht="1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customFormat="false" ht="1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customFormat="false" ht="1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customFormat="false" ht="1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customFormat="false" ht="1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customFormat="false" ht="1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</row>
    <row r="183" customFormat="false" ht="1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customFormat="false" ht="1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customFormat="false" ht="1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customFormat="false" ht="1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customFormat="false" ht="1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customFormat="false" ht="1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customFormat="false" ht="1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customFormat="false" ht="1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customFormat="false" ht="1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customFormat="false" ht="1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customFormat="false" ht="1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customFormat="false" ht="1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</row>
    <row r="195" customFormat="false" ht="1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customFormat="false" ht="1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customFormat="false" ht="1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customFormat="false" ht="1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customFormat="false" ht="1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customFormat="false" ht="1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customFormat="false" ht="1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customFormat="false" ht="1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</row>
    <row r="203" customFormat="false" ht="1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customFormat="false" ht="1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</row>
    <row r="205" customFormat="false" ht="1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</row>
  </sheetData>
  <dataValidations count="5">
    <dataValidation allowBlank="true" errorStyle="stop" operator="between" showDropDown="false" showErrorMessage="false" showInputMessage="false" sqref="I6:I205" type="list">
      <formula1>"Y,N"</formula1>
      <formula2>0</formula2>
    </dataValidation>
    <dataValidation allowBlank="true" errorStyle="stop" operator="between" showDropDown="false" showErrorMessage="false" showInputMessage="false" sqref="B6:B205" type="list">
      <formula1>"hotel,serviced apartments,tourism body,employer,venue,other"</formula1>
      <formula2>0</formula2>
    </dataValidation>
    <dataValidation allowBlank="true" errorStyle="stop" operator="between" showDropDown="false" showErrorMessage="false" showInputMessage="false" sqref="E6:E205 G6:G205" type="whole">
      <formula1>0</formula1>
      <formula2>100000</formula2>
    </dataValidation>
    <dataValidation allowBlank="true" errorStyle="stop" operator="between" showDropDown="false" showErrorMessage="false" showInputMessage="false" sqref="H6:H205" type="whole">
      <formula1>0</formula1>
      <formula2>200</formula2>
    </dataValidation>
    <dataValidation allowBlank="true" errorStyle="stop" operator="between" showDropDown="false" showErrorMessage="false" showInputMessage="false" sqref="K6:K205" type="list">
      <formula1>"none,introduction,unpaid pilot"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24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6" t="s">
        <v>247</v>
      </c>
    </row>
    <row r="2" customFormat="false" ht="15" hidden="false" customHeight="true" outlineLevel="0" collapsed="false">
      <c r="A2" s="7" t="s">
        <v>248</v>
      </c>
    </row>
    <row r="4" customFormat="false" ht="15" hidden="false" customHeight="true" outlineLevel="0" collapsed="false">
      <c r="A4" s="10" t="s">
        <v>249</v>
      </c>
      <c r="B4" s="10" t="s">
        <v>250</v>
      </c>
      <c r="C4" s="10" t="s">
        <v>251</v>
      </c>
      <c r="D4" s="10" t="s">
        <v>252</v>
      </c>
    </row>
    <row r="5" customFormat="false" ht="15" hidden="false" customHeight="true" outlineLevel="0" collapsed="false">
      <c r="A5" s="8" t="s">
        <v>253</v>
      </c>
      <c r="B5" s="26"/>
      <c r="C5" s="26"/>
      <c r="D5" s="12" t="n">
        <f aca="false">B5+C5</f>
        <v>0</v>
      </c>
    </row>
    <row r="6" customFormat="false" ht="15" hidden="false" customHeight="true" outlineLevel="0" collapsed="false">
      <c r="A6" s="8" t="s">
        <v>254</v>
      </c>
      <c r="B6" s="26"/>
      <c r="C6" s="26"/>
      <c r="D6" s="12" t="n">
        <f aca="false">B6+C6</f>
        <v>0</v>
      </c>
    </row>
    <row r="7" customFormat="false" ht="15" hidden="false" customHeight="true" outlineLevel="0" collapsed="false">
      <c r="A7" s="8" t="s">
        <v>255</v>
      </c>
      <c r="B7" s="26"/>
      <c r="C7" s="26"/>
      <c r="D7" s="12" t="n">
        <f aca="false">B7+C7</f>
        <v>0</v>
      </c>
    </row>
    <row r="8" customFormat="false" ht="15" hidden="false" customHeight="true" outlineLevel="0" collapsed="false">
      <c r="A8" s="8" t="s">
        <v>256</v>
      </c>
      <c r="B8" s="26"/>
      <c r="C8" s="26"/>
      <c r="D8" s="12" t="n">
        <f aca="false">B8+C8</f>
        <v>0</v>
      </c>
    </row>
    <row r="9" customFormat="false" ht="15" hidden="false" customHeight="true" outlineLevel="0" collapsed="false">
      <c r="A9" s="8" t="s">
        <v>257</v>
      </c>
      <c r="B9" s="26"/>
      <c r="C9" s="26"/>
      <c r="D9" s="12" t="n">
        <f aca="false">B9+C9</f>
        <v>0</v>
      </c>
    </row>
    <row r="10" customFormat="false" ht="15" hidden="false" customHeight="true" outlineLevel="0" collapsed="false">
      <c r="A10" s="8" t="s">
        <v>258</v>
      </c>
      <c r="B10" s="12" t="n">
        <f aca="false">SUM(B6:B8)</f>
        <v>0</v>
      </c>
      <c r="C10" s="12" t="n">
        <f aca="false">SUM(C6:C8)</f>
        <v>0</v>
      </c>
      <c r="D10" s="12" t="n">
        <f aca="false">SUM(D6:D8)</f>
        <v>0</v>
      </c>
    </row>
    <row r="11" customFormat="false" ht="15" hidden="false" customHeight="true" outlineLevel="0" collapsed="false">
      <c r="A11" s="8" t="s">
        <v>259</v>
      </c>
      <c r="B11" s="12" t="n">
        <f aca="false">B10-B9</f>
        <v>0</v>
      </c>
      <c r="C11" s="12" t="n">
        <f aca="false">C10-C9</f>
        <v>0</v>
      </c>
      <c r="D11" s="12" t="n">
        <f aca="false">D10-D9</f>
        <v>0</v>
      </c>
    </row>
    <row r="12" customFormat="false" ht="15" hidden="false" customHeight="true" outlineLevel="0" collapsed="false">
      <c r="A12" s="8" t="s">
        <v>82</v>
      </c>
      <c r="B12" s="13" t="str">
        <f aca="false">IF(B5&gt;0,B11/B5,"no data")</f>
        <v>no data</v>
      </c>
      <c r="C12" s="13" t="str">
        <f aca="false">IF(C5&gt;0,C11/C5,"no data")</f>
        <v>no data</v>
      </c>
      <c r="D12" s="13" t="str">
        <f aca="false">IF(D5&gt;0,D11/D5,"no data")</f>
        <v>no data</v>
      </c>
    </row>
    <row r="13" customFormat="false" ht="15" hidden="false" customHeight="true" outlineLevel="0" collapsed="false">
      <c r="A13" s="8" t="s">
        <v>84</v>
      </c>
      <c r="B13" s="13" t="str">
        <f aca="false">IF(B10&gt;0,(B7+B8)/B10,"no data")</f>
        <v>no data</v>
      </c>
      <c r="C13" s="13" t="str">
        <f aca="false">IF(C10&gt;0,(C7+C8)/C10,"no data")</f>
        <v>no data</v>
      </c>
      <c r="D13" s="13" t="str">
        <f aca="false">IF(D10&gt;0,(D7+D8)/D10,"no data")</f>
        <v>no data</v>
      </c>
    </row>
    <row r="14" customFormat="false" ht="15" hidden="false" customHeight="true" outlineLevel="0" collapsed="false">
      <c r="A14" s="8" t="s">
        <v>260</v>
      </c>
      <c r="B14" s="13" t="str">
        <f aca="false">IF((B7+B8)&gt;0,B8/(B7+B8),"no data")</f>
        <v>no data</v>
      </c>
      <c r="C14" s="13" t="str">
        <f aca="false">IF((C7+C8)&gt;0,C8/(C7+C8),"no data")</f>
        <v>no data</v>
      </c>
      <c r="D14" s="13" t="str">
        <f aca="false">IF((D7+D8)&gt;0,D8/(D7+D8),"no data")</f>
        <v>no data</v>
      </c>
    </row>
    <row r="15" customFormat="false" ht="15" hidden="false" customHeight="true" outlineLevel="0" collapsed="false">
      <c r="A15" s="8" t="s">
        <v>261</v>
      </c>
      <c r="B15" s="26"/>
      <c r="C15" s="26"/>
      <c r="D15" s="12" t="n">
        <f aca="false">B15+C15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2026-09-26T15:04:41Z</dcterms:created>
  <dc:creator>openpyxl</dc:creator>
  <dc:description/>
  <dc:language>en-US</dc:language>
  <cp:lastModifiedBy/>
  <dcterms:modified xsi:type="dcterms:W3CDTF">2026-09-27T09:37:31Z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