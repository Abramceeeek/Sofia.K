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Inputs" sheetId="2" state="visible" r:id="rId4"/>
    <sheet name="PriceTables" sheetId="3" state="visible" r:id="rId5"/>
    <sheet name="Costs" sheetId="4" state="visible" r:id="rId6"/>
    <sheet name="Subscription" sheetId="5" state="visible" r:id="rId7"/>
    <sheet name="PerTrip" sheetId="6" state="visible" r:id="rId8"/>
    <sheet name="GroupTrip" sheetId="7" state="visible" r:id="rId9"/>
    <sheet name="Affiliate" sheetId="8" state="visible" r:id="rId10"/>
    <sheet name="Promoted" sheetId="9" state="visible" r:id="rId11"/>
    <sheet name="CAC" sheetId="10" state="visible" r:id="rId12"/>
    <sheet name="LTV" sheetId="11" state="visible" r:id="rId13"/>
    <sheet name="BreakEven" sheetId="12" state="visible" r:id="rId14"/>
    <sheet name="Sensitivity" sheetId="13" state="visible" r:id="rId15"/>
    <sheet name="FounderHours" sheetId="14" state="visible" r:id="rId16"/>
  </sheets>
  <definedNames>
    <definedName function="false" hidden="false" name="aff_click_book" vbProcedure="false">Inputs!$C$83</definedName>
    <definedName function="false" hidden="false" name="aff_commission" vbProcedure="false">Inputs!$C$81</definedName>
    <definedName function="false" hidden="false" name="aff_plan_share" vbProcedure="false">Inputs!$C$82</definedName>
    <definedName function="false" hidden="false" name="aff_ticket" vbProcedure="false">Inputs!$C$84</definedName>
    <definedName function="false" hidden="false" name="annual_share" vbProcedure="false">Inputs!$C$62</definedName>
    <definedName function="false" hidden="false" name="apple_commission" vbProcedure="false">Inputs!$C$16</definedName>
    <definedName function="false" hidden="false" name="aura2_usd_1k" vbProcedure="false">Inputs!$C$39</definedName>
    <definedName function="false" hidden="false" name="click_signup" vbProcedure="false">Inputs!$C$97</definedName>
    <definedName function="false" hidden="false" name="conv_paid" vbProcedure="false">Inputs!$C$63</definedName>
    <definedName function="false" hidden="false" name="conv_paywall" vbProcedure="false">Inputs!$C$64</definedName>
    <definedName function="false" hidden="false" name="cpm" vbProcedure="false">Inputs!$C$86</definedName>
    <definedName function="false" hidden="false" name="domain_year" vbProcedure="false">Inputs!$C$12</definedName>
    <definedName function="false" hidden="false" name="fill_rate" vbProcedure="false">Inputs!$C$88</definedName>
    <definedName function="false" hidden="false" name="founder_rate" vbProcedure="false">Inputs!$C$10</definedName>
    <definedName function="false" hidden="false" name="free_plans" vbProcedure="false">Inputs!$C$67</definedName>
    <definedName function="false" hidden="false" name="fx" vbProcedure="false">Inputs!$C$6</definedName>
    <definedName function="false" hidden="false" name="group_commission" vbProcedure="false">Inputs!$C$75</definedName>
    <definedName function="false" hidden="false" name="group_member_share" vbProcedure="false">Inputs!$C$78</definedName>
    <definedName function="false" hidden="false" name="group_mod_min" vbProcedure="false">Inputs!$C$79</definedName>
    <definedName function="false" hidden="false" name="group_size" vbProcedure="false">Inputs!$C$73</definedName>
    <definedName function="false" hidden="false" name="group_spend" vbProcedure="false">Inputs!$C$74</definedName>
    <definedName function="false" hidden="false" name="group_trips_member" vbProcedure="false">Inputs!$C$77</definedName>
    <definedName function="false" hidden="false" name="ico_fee_year" vbProcedure="false">Inputs!$C$11</definedName>
    <definedName function="false" hidden="false" name="impr_mau" vbProcedure="false">Inputs!$C$87</definedName>
    <definedName function="false" hidden="false" name="llm_in" vbProcedure="false">PriceTables!$C$5:$C$8</definedName>
    <definedName function="false" hidden="false" name="llm_names" vbProcedure="false">PriceTables!$B$5:$B$8</definedName>
    <definedName function="false" hidden="false" name="llm_out" vbProcedure="false">PriceTables!$D$5:$D$8</definedName>
    <definedName function="false" hidden="false" name="ltv_cac_target" vbProcedure="false">Inputs!$C$98</definedName>
    <definedName function="false" hidden="false" name="mau_per_signup" vbProcedure="false">Inputs!$C$89</definedName>
    <definedName function="false" hidden="false" name="mau_plans" vbProcedure="false">Inputs!$C$56</definedName>
    <definedName function="false" hidden="false" name="meta_cpc" vbProcedure="false">Inputs!$C$95</definedName>
    <definedName function="false" hidden="false" name="moments_month" vbProcedure="false">Inputs!$C$102</definedName>
    <definedName function="false" hidden="false" name="moment_min" vbProcedure="false">Inputs!$C$101</definedName>
    <definedName function="false" hidden="false" name="mo_free_calls" vbProcedure="false">Inputs!$C$35</definedName>
    <definedName function="false" hidden="false" name="mo_tier_calls" vbProcedure="false">Inputs!$C$34</definedName>
    <definedName function="false" hidden="false" name="mo_tier_gbp" vbProcedure="false">Inputs!$C$33</definedName>
    <definedName function="false" hidden="false" name="onb_completion" vbProcedure="false">Inputs!$C$48</definedName>
    <definedName function="false" hidden="false" name="onb_embed_gbp" vbProcedure="false">Inputs!$C$47</definedName>
    <definedName function="false" hidden="false" name="onb_host_chars" vbProcedure="false">Inputs!$C$44</definedName>
    <definedName function="false" hidden="false" name="onb_in_tokens" vbProcedure="false">Inputs!$C$45</definedName>
    <definedName function="false" hidden="false" name="onb_out_tokens" vbProcedure="false">Inputs!$C$46</definedName>
    <definedName function="false" hidden="false" name="onb_session_min" vbProcedure="false">Inputs!$C$43</definedName>
    <definedName function="false" hidden="false" name="onb_speech_min" vbProcedure="false">Inputs!$C$42</definedName>
    <definedName function="false" hidden="false" name="onb_support_min" vbProcedure="false">Inputs!$C$100</definedName>
    <definedName function="false" hidden="false" name="plans_per_payer" vbProcedure="false">Inputs!$C$55</definedName>
    <definedName function="false" hidden="false" name="plan_in_tokens" vbProcedure="false">Inputs!$C$50</definedName>
    <definedName function="false" hidden="false" name="plan_msgs" vbProcedure="false">Inputs!$C$54</definedName>
    <definedName function="false" hidden="false" name="plan_out_tokens" vbProcedure="false">Inputs!$C$51</definedName>
    <definedName function="false" hidden="false" name="plan_routing_gbp" vbProcedure="false">Inputs!$C$53</definedName>
    <definedName function="false" hidden="false" name="plan_weather_calls" vbProcedure="false">Inputs!$C$52</definedName>
    <definedName function="false" hidden="false" name="post_hours" vbProcedure="false">Inputs!$C$91</definedName>
    <definedName function="false" hidden="false" name="price_month" vbProcedure="false">Inputs!$C$60</definedName>
    <definedName function="false" hidden="false" name="price_year" vbProcedure="false">Inputs!$C$61</definedName>
    <definedName function="false" hidden="false" name="reddit_cpc_usd" vbProcedure="false">Inputs!$C$96</definedName>
    <definedName function="false" hidden="false" name="reengage_msgs" vbProcedure="false">Inputs!$C$57</definedName>
    <definedName function="false" hidden="false" name="refund_rate" vbProcedure="false">Inputs!$C$76</definedName>
    <definedName function="false" hidden="false" name="ref_conv_mult" vbProcedure="false">Inputs!$C$94</definedName>
    <definedName function="false" hidden="false" name="ref_reward" vbProcedure="false">Inputs!$C$93</definedName>
    <definedName function="false" hidden="false" name="render_pg_l" vbProcedure="false">Inputs!$C$29</definedName>
    <definedName function="false" hidden="false" name="render_pg_s" vbProcedure="false">Inputs!$C$28</definedName>
    <definedName function="false" hidden="false" name="render_storage" vbProcedure="false">Inputs!$C$30</definedName>
    <definedName function="false" hidden="false" name="render_web_l" vbProcedure="false">Inputs!$C$27</definedName>
    <definedName function="false" hidden="false" name="render_web_s" vbProcedure="false">Inputs!$C$26</definedName>
    <definedName function="false" hidden="false" name="ret_annual" vbProcedure="false">Inputs!$C$66</definedName>
    <definedName function="false" hidden="false" name="ret_monthly" vbProcedure="false">Inputs!$C$65</definedName>
    <definedName function="false" hidden="false" name="signups_post" vbProcedure="false">Inputs!$C$92</definedName>
    <definedName function="false" hidden="false" name="stars_dev_usd" vbProcedure="false">Inputs!$C$17</definedName>
    <definedName function="false" hidden="false" name="stars_user_usd" vbProcedure="false">Inputs!$C$18</definedName>
    <definedName function="false" hidden="false" name="stars_withdraw_fee" vbProcedure="false">Inputs!$C$19</definedName>
    <definedName function="false" hidden="false" name="storage_mb_user" vbProcedure="false">Inputs!$C$32</definedName>
    <definedName function="false" hidden="false" name="stripe_fixed" vbProcedure="false">Inputs!$C$15</definedName>
    <definedName function="false" hidden="false" name="stripe_pct" vbProcedure="false">Inputs!$C$14</definedName>
    <definedName function="false" hidden="false" name="support_min" vbProcedure="false">Inputs!$C$58</definedName>
    <definedName function="false" hidden="false" name="tavus_incl_min" vbProcedure="false">Inputs!$C$37</definedName>
    <definedName function="false" hidden="false" name="tavus_overage_usd" vbProcedure="false">Inputs!$C$38</definedName>
    <definedName function="false" hidden="false" name="tavus_plan_usd" vbProcedure="false">Inputs!$C$36</definedName>
    <definedName function="false" hidden="false" name="tg_msg_usd" vbProcedure="false">Inputs!$C$21</definedName>
    <definedName function="false" hidden="false" name="trips_per_buyer" vbProcedure="false">Inputs!$C$71</definedName>
    <definedName function="false" hidden="false" name="trip_buyer_share" vbProcedure="false">Inputs!$C$70</definedName>
    <definedName function="false" hidden="false" name="trip_fee" vbProcedure="false">Inputs!$C$69</definedName>
    <definedName function="false" hidden="false" name="tr_names" vbProcedure="false">PriceTables!$B$14:$B$17</definedName>
    <definedName function="false" hidden="false" name="tr_usd" vbProcedure="false">PriceTables!$C$14:$C$17</definedName>
    <definedName function="false" hidden="false" name="users_per_unit" vbProcedure="false">Inputs!$C$31</definedName>
    <definedName function="false" hidden="false" name="vat_rate" vbProcedure="false">Inputs!$C$7</definedName>
    <definedName function="false" hidden="false" name="vat_registered" vbProcedure="false">Inputs!$C$9</definedName>
    <definedName function="false" hidden="false" name="vat_threshold" vbProcedure="false">Inputs!$C$8</definedName>
    <definedName function="false" hidden="false" name="voice_share" vbProcedure="false">Inputs!$C$41</definedName>
    <definedName function="false" hidden="false" name="wa_marketing_gbp" vbProcedure="false">Inputs!$C$23</definedName>
    <definedName function="false" hidden="false" name="wa_outside_window" vbProcedure="false">Inputs!$C$24</definedName>
    <definedName function="false" hidden="false" name="wa_utility_usd" vbProcedure="false">Inputs!$C$22</definedName>
    <definedName function="false" hidden="false" name="week_budget" vbProcedure="false">Inputs!$C$103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<sst xmlns="http://schemas.openxmlformats.org/spreadsheetml/2006/main" count="1115" uniqueCount="713">
  <si>
    <t xml:space="preserve">Unit economics — moment-based travel planner (Phase 2)</t>
  </si>
  <si>
    <t xml:space="preserve">Built 2026-09-26. All money in GBP; USD prices converted at the ECB rate on Inputs. Sources: research/sources.csv (area "econ") and economics/assumptions.md.</t>
  </si>
  <si>
    <t xml:space="preserve">How to use</t>
  </si>
  <si>
    <t xml:space="preserve">Edit blue cells only: Inputs column C, PriceTables, and the stack choices at the top of Costs (rows 6-15).</t>
  </si>
  <si>
    <t xml:space="preserve">Black cells are formulas. Green cells link to another sheet or a named input. Yellow = key assumption Phase 3 must measure.</t>
  </si>
  <si>
    <t xml:space="preserve">Every input has a status: fetched, search, GUESS, LEVER, TARGET (Phase 3 threshold) or FOUNDER.</t>
  </si>
  <si>
    <t xml:space="preserve">No money can be taken until the legal gates clear (CLAUDE.md). Revenue here is what the model would earn after that.</t>
  </si>
  <si>
    <t xml:space="preserve">Tabs</t>
  </si>
  <si>
    <t xml:space="preserve">Inputs</t>
  </si>
  <si>
    <t xml:space="preserve">Every assumption with value, unit, status, source URL and date</t>
  </si>
  <si>
    <t xml:space="preserve">PriceTables</t>
  </si>
  <si>
    <t xml:space="preserve">Claude models and transcription services a stack can pick</t>
  </si>
  <si>
    <t xml:space="preserve">Costs</t>
  </si>
  <si>
    <t xml:space="preserve">Three stacks: onboarding, per-plan, per-user-month and fixed costs; WhatsApp vs Telegram</t>
  </si>
  <si>
    <t xml:space="preserve">Subscription / PerTrip / GroupTrip / Affiliate / Promoted</t>
  </si>
  <si>
    <t xml:space="preserve">One revenue model per tab: contribution per user and per trip</t>
  </si>
  <si>
    <t xml:space="preserve">CAC</t>
  </si>
  <si>
    <t xml:space="preserve">Cost per paying user by channel</t>
  </si>
  <si>
    <t xml:space="preserve">LTV</t>
  </si>
  <si>
    <t xml:space="preserve">Retention → LTV → LTV:CAC; value vs cost per sign-up for all five models</t>
  </si>
  <si>
    <t xml:space="preserve">BreakEven</t>
  </si>
  <si>
    <t xml:space="preserve">Break-even volumes; users needed for £10k, £50k, £100k a year; VAT threshold</t>
  </si>
  <si>
    <t xml:space="preserve">Sensitivity</t>
  </si>
  <si>
    <t xml:space="preserve">One-way table on key inputs; two-way price × conversion grid</t>
  </si>
  <si>
    <t xml:space="preserve">FounderHours</t>
  </si>
  <si>
    <t xml:space="preserve">Founder hours per 100 users and the capacity of 7.5 h a week</t>
  </si>
  <si>
    <t xml:space="preserve">Key results (live links)</t>
  </si>
  <si>
    <t xml:space="preserve">Line</t>
  </si>
  <si>
    <t xml:space="preserve">Cheapest</t>
  </si>
  <si>
    <t xml:space="preserve">Default</t>
  </si>
  <si>
    <t xml:space="preserve">Premium</t>
  </si>
  <si>
    <t xml:space="preserve">Onboarding cost per sign-up (£)</t>
  </si>
  <si>
    <t xml:space="preserve">Cost per plan (£)</t>
  </si>
  <si>
    <t xml:space="preserve">Cash cost per paying user per month (£)</t>
  </si>
  <si>
    <t xml:space="preserve">Fixed cost per month (£)</t>
  </si>
  <si>
    <t xml:space="preserve">Subscription: contribution per active payer-month (£)</t>
  </si>
  <si>
    <t xml:space="preserve">Subscription: blended LTV per new payer (£)</t>
  </si>
  <si>
    <t xml:space="preserve">Pay per plan: contribution per plan (£)</t>
  </si>
  <si>
    <t xml:space="preserve">Group trip: contribution per trip (£)</t>
  </si>
  <si>
    <t xml:space="preserve">Affiliate: contribution per plan (£)</t>
  </si>
  <si>
    <t xml:space="preserve">Promoted: contribution per MAU-month (£)</t>
  </si>
  <si>
    <t xml:space="preserve">LTV:CAC, Default stack</t>
  </si>
  <si>
    <t xml:space="preserve">Organic community posts</t>
  </si>
  <si>
    <t xml:space="preserve">Referral</t>
  </si>
  <si>
    <t xml:space="preserve">Paid social: Meta</t>
  </si>
  <si>
    <t xml:space="preserve">Paid social: Reddit</t>
  </si>
  <si>
    <t xml:space="preserve">Sign-ups a year for £50k net (Default)</t>
  </si>
  <si>
    <t xml:space="preserve">Subscription</t>
  </si>
  <si>
    <t xml:space="preserve">Pay per plan</t>
  </si>
  <si>
    <t xml:space="preserve">Group-trip commission</t>
  </si>
  <si>
    <t xml:space="preserve">Affiliate</t>
  </si>
  <si>
    <t xml:space="preserve">Affiliate and promoted rows are cumulative sign-ups, not per year</t>
  </si>
  <si>
    <t xml:space="preserve">Promoted experiences</t>
  </si>
  <si>
    <t xml:space="preserve">Inputs — every number the model uses. Edit the blue cells in column C only.</t>
  </si>
  <si>
    <t xml:space="preserve">Status: fetched = read on the source page; search = search result only; GUESS = our estimate; LEVER = a design choice; TARGET = a Phase 3 pass threshold; FOUNDER = from the founder brief. Yellow = key assumption that Phase 3 must measure.</t>
  </si>
  <si>
    <t xml:space="preserve">Name (used in formulas)</t>
  </si>
  <si>
    <t xml:space="preserve">Input</t>
  </si>
  <si>
    <t xml:space="preserve">Value</t>
  </si>
  <si>
    <t xml:space="preserve">Unit</t>
  </si>
  <si>
    <t xml:space="preserve">Status</t>
  </si>
  <si>
    <t xml:space="preserve">Source URL</t>
  </si>
  <si>
    <t xml:space="preserve">Accessed</t>
  </si>
  <si>
    <t xml:space="preserve">Note / what will measure it</t>
  </si>
  <si>
    <t xml:space="preserve">General</t>
  </si>
  <si>
    <t xml:space="preserve">fx</t>
  </si>
  <si>
    <t xml:space="preserve">Exchange rate</t>
  </si>
  <si>
    <t xml:space="preserve">USD per GBP</t>
  </si>
  <si>
    <t xml:space="preserve">fetched</t>
  </si>
  <si>
    <t xml:space="preserve">https://www.ecb.europa.eu/stats/eurofxref/eurofxref-daily.xml</t>
  </si>
  <si>
    <t xml:space="preserve">2026-09-26</t>
  </si>
  <si>
    <t xml:space="preserve">ECB reference rates 2026-09-25: EUR 1 = USD 1.1403 = GBP 0.86045</t>
  </si>
  <si>
    <t xml:space="preserve">vat_rate</t>
  </si>
  <si>
    <t xml:space="preserve">UK VAT standard rate</t>
  </si>
  <si>
    <t xml:space="preserve">fraction</t>
  </si>
  <si>
    <t xml:space="preserve">https://www.gov.uk/vat-rates</t>
  </si>
  <si>
    <t xml:space="preserve">vat_threshold</t>
  </si>
  <si>
    <t xml:space="preserve">VAT registration threshold</t>
  </si>
  <si>
    <t xml:space="preserve">£ taxable turnover / 12 months</t>
  </si>
  <si>
    <t xml:space="preserve">https://www.gov.uk/vat-registration/when-to-register</t>
  </si>
  <si>
    <t xml:space="preserve">BreakEven flags which revenue targets cross it</t>
  </si>
  <si>
    <t xml:space="preserve">vat_registered</t>
  </si>
  <si>
    <t xml:space="preserve">VAT registered? (1 = yes)</t>
  </si>
  <si>
    <t xml:space="preserve">switch</t>
  </si>
  <si>
    <t xml:space="preserve">LEVER</t>
  </si>
  <si>
    <t xml:space="preserve">Set to 1 once turnover passes the threshold: then 1/6 of every VAT-inclusive Stripe sale goes to HMRC. Stars sales are left untaxed here: the app store sells the Stars (VAT treatment UNVERIFIED)</t>
  </si>
  <si>
    <t xml:space="preserve">founder_rate</t>
  </si>
  <si>
    <t xml:space="preserve">Shadow value of one founder hour</t>
  </si>
  <si>
    <t xml:space="preserve">£ / hour</t>
  </si>
  <si>
    <t xml:space="preserve">GUESS</t>
  </si>
  <si>
    <t xml:space="preserve">Used only in the "incl. founder time" rows. Hours, not money, are the binding constraint</t>
  </si>
  <si>
    <t xml:space="preserve">ico_fee_year</t>
  </si>
  <si>
    <t xml:space="preserve">ICO data protection fee (tier 1)</t>
  </si>
  <si>
    <t xml:space="preserve">£ / year</t>
  </si>
  <si>
    <t xml:space="preserve">search</t>
  </si>
  <si>
    <t xml:space="preserve">https://ico.org.uk/for-organisations/data-protection-fee/data-protection-fee/</t>
  </si>
  <si>
    <t xml:space="preserve">Micro organisations; £5 off by direct debit</t>
  </si>
  <si>
    <t xml:space="preserve">domain_year</t>
  </si>
  <si>
    <t xml:space="preserve">Domain and email</t>
  </si>
  <si>
    <t xml:space="preserve">Payments</t>
  </si>
  <si>
    <t xml:space="preserve">stripe_pct</t>
  </si>
  <si>
    <t xml:space="preserve">Stripe: percentage fee, standard UK cards</t>
  </si>
  <si>
    <t xml:space="preserve">fraction of charge</t>
  </si>
  <si>
    <t xml:space="preserve">https://stripe.com/gb/pricing</t>
  </si>
  <si>
    <t xml:space="preserve">1.5% + 20p</t>
  </si>
  <si>
    <t xml:space="preserve">stripe_fixed</t>
  </si>
  <si>
    <t xml:space="preserve">Stripe: fixed fee per charge</t>
  </si>
  <si>
    <t xml:space="preserve">£ per charge</t>
  </si>
  <si>
    <t xml:space="preserve">apple_commission</t>
  </si>
  <si>
    <t xml:space="preserve">Apple commission (Small Business Program)</t>
  </si>
  <si>
    <t xml:space="preserve">https://developer.apple.com/app-store/small-business-program/</t>
  </si>
  <si>
    <t xml:space="preserve">Only for a native iOS app with in-app purchase. No v0 stack uses one</t>
  </si>
  <si>
    <t xml:space="preserve">stars_dev_usd</t>
  </si>
  <si>
    <t xml:space="preserve">Telegram Stars: developer reward per Star</t>
  </si>
  <si>
    <t xml:space="preserve">USD per Star</t>
  </si>
  <si>
    <t xml:space="preserve">https://telegram.org/tos/bot-developers</t>
  </si>
  <si>
    <t xml:space="preserve">Developer Terms s.6.2.4. Digital goods sold inside Telegram must be paid in Stars (core.telegram.org/bots/payments-stars, fetched)</t>
  </si>
  <si>
    <t xml:space="preserve">stars_user_usd</t>
  </si>
  <si>
    <t xml:space="preserve">Telegram Stars: price a user pays per Star (app store)</t>
  </si>
  <si>
    <t xml:space="preserve">https://dev.to/starsearn/telegram-stars-economics-for-bot-developers-what-your-stars-are-actually-worth-in-2026-2742</t>
  </si>
  <si>
    <t xml:space="preserve">Third-party estimate: ~$1.99 per 100 Stars via in-app purchase. Check before pricing</t>
  </si>
  <si>
    <t xml:space="preserve">stars_withdraw_fee</t>
  </si>
  <si>
    <t xml:space="preserve">Telegram Stars: withdrawal fee (Fragment, TON)</t>
  </si>
  <si>
    <t xml:space="preserve">https://adminhub.tools/blog/withdraw-telegram-stars/</t>
  </si>
  <si>
    <t xml:space="preserve">Plus TON exchange costs, not modelled</t>
  </si>
  <si>
    <t xml:space="preserve">Messaging</t>
  </si>
  <si>
    <t xml:space="preserve">tg_msg_usd</t>
  </si>
  <si>
    <t xml:space="preserve">Telegram: cost per bot message</t>
  </si>
  <si>
    <t xml:space="preserve">USD per message</t>
  </si>
  <si>
    <t xml:space="preserve">https://core.telegram.org/bots/faq</t>
  </si>
  <si>
    <t xml:space="preserve">Bots message users at no cost</t>
  </si>
  <si>
    <t xml:space="preserve">wa_utility_usd</t>
  </si>
  <si>
    <t xml:space="preserve">WhatsApp: UK utility template outside 24h window</t>
  </si>
  <si>
    <t xml:space="preserve">https://payperwa.com/blog/whatsapp-business-api-pricing-uk-2026</t>
  </si>
  <si>
    <t xml:space="preserve">Third-party figure. Messages inside an open 24h service window are free (Meta, fetched)</t>
  </si>
  <si>
    <t xml:space="preserve">wa_marketing_gbp</t>
  </si>
  <si>
    <t xml:space="preserve">WhatsApp: UK marketing template</t>
  </si>
  <si>
    <t xml:space="preserve">£ per message</t>
  </si>
  <si>
    <t xml:space="preserve">Third-party figure. Used for re-engagement messages</t>
  </si>
  <si>
    <t xml:space="preserve">wa_outside_window</t>
  </si>
  <si>
    <t xml:space="preserve">Share of in-trip messages sent outside the 24h window</t>
  </si>
  <si>
    <t xml:space="preserve">Rating prompts usually follow a user tap, so most fall inside the window</t>
  </si>
  <si>
    <t xml:space="preserve">Hosting and third-party services</t>
  </si>
  <si>
    <t xml:space="preserve">render_web_s</t>
  </si>
  <si>
    <t xml:space="preserve">Render web service, 512 MB</t>
  </si>
  <si>
    <t xml:space="preserve">USD / month</t>
  </si>
  <si>
    <t xml:space="preserve">https://render.com/pricing</t>
  </si>
  <si>
    <t xml:space="preserve">render_web_l</t>
  </si>
  <si>
    <t xml:space="preserve">Render web service, 2 GB</t>
  </si>
  <si>
    <t xml:space="preserve">render_pg_s</t>
  </si>
  <si>
    <t xml:space="preserve">Render Postgres, 256 MB</t>
  </si>
  <si>
    <t xml:space="preserve">render_pg_l</t>
  </si>
  <si>
    <t xml:space="preserve">Render Postgres, 1 GB</t>
  </si>
  <si>
    <t xml:space="preserve">render_storage</t>
  </si>
  <si>
    <t xml:space="preserve">Render Postgres extra storage</t>
  </si>
  <si>
    <t xml:space="preserve">USD / GB / month</t>
  </si>
  <si>
    <t xml:space="preserve">1 GB included</t>
  </si>
  <si>
    <t xml:space="preserve">users_per_unit</t>
  </si>
  <si>
    <t xml:space="preserve">Active users served by one web + database unit</t>
  </si>
  <si>
    <t xml:space="preserve">users</t>
  </si>
  <si>
    <t xml:space="preserve">Adds one hosting unit per this many active users (conservative: counts the first unit twice)</t>
  </si>
  <si>
    <t xml:space="preserve">storage_mb_user</t>
  </si>
  <si>
    <t xml:space="preserve">Storage per user (transcripts, ratings, plans)</t>
  </si>
  <si>
    <t xml:space="preserve">MB</t>
  </si>
  <si>
    <t xml:space="preserve">Raw audio is deleted after transcription (D3)</t>
  </si>
  <si>
    <t xml:space="preserve">mo_tier_gbp</t>
  </si>
  <si>
    <t xml:space="preserve">Met Office DataHub: first paid tier</t>
  </si>
  <si>
    <t xml:space="preserve">£ / month</t>
  </si>
  <si>
    <t xml:space="preserve">https://datahub.metoffice.gov.uk/pricing/site-specific</t>
  </si>
  <si>
    <t xml:space="preserve">900 calls/day; free plan 360 calls/day (ex VAT)</t>
  </si>
  <si>
    <t xml:space="preserve">mo_tier_calls</t>
  </si>
  <si>
    <t xml:space="preserve">Met Office DataHub: calls per day in first paid tier</t>
  </si>
  <si>
    <t xml:space="preserve">calls / day</t>
  </si>
  <si>
    <t xml:space="preserve">mo_free_calls</t>
  </si>
  <si>
    <t xml:space="preserve">Met Office DataHub: free calls per day</t>
  </si>
  <si>
    <t xml:space="preserve">tavus_plan_usd</t>
  </si>
  <si>
    <t xml:space="preserve">Tavus Starter plan fee</t>
  </si>
  <si>
    <t xml:space="preserve">https://www.tavus.io/pricing</t>
  </si>
  <si>
    <t xml:space="preserve">Includes 100 min of conversational video, up to 3 concurrent streams</t>
  </si>
  <si>
    <t xml:space="preserve">tavus_incl_min</t>
  </si>
  <si>
    <t xml:space="preserve">Tavus Starter included minutes</t>
  </si>
  <si>
    <t xml:space="preserve">minutes / month</t>
  </si>
  <si>
    <t xml:space="preserve">Model charges overage on every minute (conservative)</t>
  </si>
  <si>
    <t xml:space="preserve">tavus_overage_usd</t>
  </si>
  <si>
    <t xml:space="preserve">Tavus Starter overage</t>
  </si>
  <si>
    <t xml:space="preserve">USD / minute</t>
  </si>
  <si>
    <t xml:space="preserve">Growth plan: $397/mo incl. 1,250 min, then $0.32/min</t>
  </si>
  <si>
    <t xml:space="preserve">aura2_usd_1k</t>
  </si>
  <si>
    <t xml:space="preserve">Deepgram Aura-2 text-to-speech</t>
  </si>
  <si>
    <t xml:space="preserve">USD / 1,000 characters</t>
  </si>
  <si>
    <t xml:space="preserve">https://deepgram.com/pricing</t>
  </si>
  <si>
    <t xml:space="preserve">Onboarding usage (per sign-up)</t>
  </si>
  <si>
    <t xml:space="preserve">voice_share</t>
  </si>
  <si>
    <t xml:space="preserve">Share of users who answer by voice</t>
  </si>
  <si>
    <t xml:space="preserve">Test A records this (D4). Premium stack is always voice</t>
  </si>
  <si>
    <t xml:space="preserve">onb_speech_min</t>
  </si>
  <si>
    <t xml:space="preserve">Minutes the user speaks (voice users)</t>
  </si>
  <si>
    <t xml:space="preserve">minutes</t>
  </si>
  <si>
    <t xml:space="preserve">Test A measures</t>
  </si>
  <si>
    <t xml:space="preserve">onb_session_min</t>
  </si>
  <si>
    <t xml:space="preserve">Total onboarding session length</t>
  </si>
  <si>
    <t xml:space="preserve">Test A measures. Live-avatar minutes are billed for the whole session</t>
  </si>
  <si>
    <t xml:space="preserve">onb_host_chars</t>
  </si>
  <si>
    <t xml:space="preserve">Host speech converted to voice</t>
  </si>
  <si>
    <t xml:space="preserve">characters</t>
  </si>
  <si>
    <t xml:space="preserve">~12 host turns x 250 characters</t>
  </si>
  <si>
    <t xml:space="preserve">onb_in_tokens</t>
  </si>
  <si>
    <t xml:space="preserve">LLM input tokens per onboarding</t>
  </si>
  <si>
    <t xml:space="preserve">tokens</t>
  </si>
  <si>
    <t xml:space="preserve">12 follow-up calls x 3,000 + extraction 8,000. Prompt caching would cut this; not modelled</t>
  </si>
  <si>
    <t xml:space="preserve">onb_out_tokens</t>
  </si>
  <si>
    <t xml:space="preserve">LLM output tokens per onboarding</t>
  </si>
  <si>
    <t xml:space="preserve">12 follow-ups x 150 + extraction 2,000</t>
  </si>
  <si>
    <t xml:space="preserve">onb_embed_gbp</t>
  </si>
  <si>
    <t xml:space="preserve">Image embeddings per onboarding</t>
  </si>
  <si>
    <t xml:space="preserve">£</t>
  </si>
  <si>
    <t xml:space="preserve">Photo taste dropped from v0 (D16)</t>
  </si>
  <si>
    <t xml:space="preserve">onb_completion</t>
  </si>
  <si>
    <t xml:space="preserve">Onboarding completion rate</t>
  </si>
  <si>
    <t xml:space="preserve">TARGET</t>
  </si>
  <si>
    <t xml:space="preserve">decisions/decision-log.md (Phase 3 thresholds)</t>
  </si>
  <si>
    <t xml:space="preserve">Phase 3 pass threshold; Test A measures by mode</t>
  </si>
  <si>
    <t xml:space="preserve">Plan usage</t>
  </si>
  <si>
    <t xml:space="preserve">plan_in_tokens</t>
  </si>
  <si>
    <t xml:space="preserve">LLM input tokens per plan</t>
  </si>
  <si>
    <t xml:space="preserve">Profile, candidate moments, weather, solver output</t>
  </si>
  <si>
    <t xml:space="preserve">plan_out_tokens</t>
  </si>
  <si>
    <t xml:space="preserve">LLM output tokens per plan</t>
  </si>
  <si>
    <t xml:space="preserve">Explanations for each stop</t>
  </si>
  <si>
    <t xml:space="preserve">plan_weather_calls</t>
  </si>
  <si>
    <t xml:space="preserve">Weather API calls per plan</t>
  </si>
  <si>
    <t xml:space="preserve">calls</t>
  </si>
  <si>
    <t xml:space="preserve">Priced at the paid-tier rate. The free 360 calls/day covers ~90 plans a day</t>
  </si>
  <si>
    <t xml:space="preserve">plan_routing_gbp</t>
  </si>
  <si>
    <t xml:space="preserve">Routing and places cost per plan</t>
  </si>
  <si>
    <t xml:space="preserve">OSRM self-hosted, TfL Unified API free key (500 requests/min, search), Overture places (open data)</t>
  </si>
  <si>
    <t xml:space="preserve">plan_msgs</t>
  </si>
  <si>
    <t xml:space="preserve">Bot messages per plan</t>
  </si>
  <si>
    <t xml:space="preserve">messages</t>
  </si>
  <si>
    <t xml:space="preserve">Plan delivery 2, on-day nudges 5, rating prompts 5</t>
  </si>
  <si>
    <t xml:space="preserve">plans_per_payer</t>
  </si>
  <si>
    <t xml:space="preserve">Plans per paying user per month</t>
  </si>
  <si>
    <t xml:space="preserve">plans / month</t>
  </si>
  <si>
    <t xml:space="preserve">Test C measures (second plan within 2 weeks &gt;= 30%)</t>
  </si>
  <si>
    <t xml:space="preserve">mau_plans</t>
  </si>
  <si>
    <t xml:space="preserve">Plans per free monthly active user</t>
  </si>
  <si>
    <t xml:space="preserve">Used by the ad and affiliate models, where plans are free</t>
  </si>
  <si>
    <t xml:space="preserve">reengage_msgs</t>
  </si>
  <si>
    <t xml:space="preserve">Re-engagement messages per user per month</t>
  </si>
  <si>
    <t xml:space="preserve">Only billed on WhatsApp (marketing template)</t>
  </si>
  <si>
    <t xml:space="preserve">support_min</t>
  </si>
  <si>
    <t xml:space="preserve">Support time per active paying user</t>
  </si>
  <si>
    <t xml:space="preserve">Test C should log this</t>
  </si>
  <si>
    <t xml:space="preserve">price_month</t>
  </si>
  <si>
    <t xml:space="preserve">Monthly price (VAT-inclusive once registered)</t>
  </si>
  <si>
    <t xml:space="preserve">Test D price point 1. RevenueCat: travel prices lowest of all categories</t>
  </si>
  <si>
    <t xml:space="preserve">price_year</t>
  </si>
  <si>
    <t xml:space="preserve">Annual price</t>
  </si>
  <si>
    <t xml:space="preserve">Test D price point 2. RevenueCat travel yearly median $20</t>
  </si>
  <si>
    <t xml:space="preserve">annual_share</t>
  </si>
  <si>
    <t xml:space="preserve">Share of new payers choosing annual</t>
  </si>
  <si>
    <t xml:space="preserve">https://www.revenuecat.com/state-of-subscription-apps/</t>
  </si>
  <si>
    <t xml:space="preserve">Travel leans yearly at 66%</t>
  </si>
  <si>
    <t xml:space="preserve">conv_paid</t>
  </si>
  <si>
    <t xml:space="preserve">Sign-up to paying conversion (freemium)</t>
  </si>
  <si>
    <t xml:space="preserve">All apps, download-to-paid by day 35. Test D is only a proxy: no money taken (D1)</t>
  </si>
  <si>
    <t xml:space="preserve">conv_paywall</t>
  </si>
  <si>
    <t xml:space="preserve">Sign-up to paying conversion (hard paywall)</t>
  </si>
  <si>
    <t xml:space="preserve">Near-identical year-one retention to freemium. Used in Sensitivity</t>
  </si>
  <si>
    <t xml:space="preserve">ret_monthly</t>
  </si>
  <si>
    <t xml:space="preserve">Monthly plans still paying after 1 year</t>
  </si>
  <si>
    <t xml:space="preserve">Median range 6-14% across categories; midpoint used</t>
  </si>
  <si>
    <t xml:space="preserve">ret_annual</t>
  </si>
  <si>
    <t xml:space="preserve">Annual plans renewing after year 1 (travel)</t>
  </si>
  <si>
    <t xml:space="preserve">Travel leads yearly retention at 39%</t>
  </si>
  <si>
    <t xml:space="preserve">free_plans</t>
  </si>
  <si>
    <t xml:space="preserve">Free plans per sign-up before paying</t>
  </si>
  <si>
    <t xml:space="preserve">plans</t>
  </si>
  <si>
    <t xml:space="preserve">Free tier = onboarding + one plan; its cost is charged to acquisition</t>
  </si>
  <si>
    <t xml:space="preserve">Per-trip fee</t>
  </si>
  <si>
    <t xml:space="preserve">trip_fee</t>
  </si>
  <si>
    <t xml:space="preserve">Fee per plan bought</t>
  </si>
  <si>
    <t xml:space="preserve">£ per plan</t>
  </si>
  <si>
    <t xml:space="preserve">Sold inside Telegram, so paid in Stars</t>
  </si>
  <si>
    <t xml:space="preserve">trip_buyer_share</t>
  </si>
  <si>
    <t xml:space="preserve">Share of sign-ups who buy at least one plan a year</t>
  </si>
  <si>
    <t xml:space="preserve">Between freemium (2.1%) and hard-paywall (10.7%) conversion</t>
  </si>
  <si>
    <t xml:space="preserve">trips_per_buyer</t>
  </si>
  <si>
    <t xml:space="preserve">Plans bought per buyer per year</t>
  </si>
  <si>
    <t xml:space="preserve">plans / year</t>
  </si>
  <si>
    <t xml:space="preserve">Short, frequent trips (de Bloom fade-out, Area 6)</t>
  </si>
  <si>
    <t xml:space="preserve">Group trips (commission)</t>
  </si>
  <si>
    <t xml:space="preserve">group_size</t>
  </si>
  <si>
    <t xml:space="preserve">Attendees per group trip</t>
  </si>
  <si>
    <t xml:space="preserve">people</t>
  </si>
  <si>
    <t xml:space="preserve">Weekend test measures (pass = &gt;= 3 strangers join and turn up)</t>
  </si>
  <si>
    <t xml:space="preserve">group_spend</t>
  </si>
  <si>
    <t xml:space="preserve">Trip spend per attendee paid through the app</t>
  </si>
  <si>
    <t xml:space="preserve">Weekend test measures</t>
  </si>
  <si>
    <t xml:space="preserve">group_commission</t>
  </si>
  <si>
    <t xml:space="preserve">Commission on trip spend</t>
  </si>
  <si>
    <t xml:space="preserve">Needs legal gates cleared and a licensed marketplace payment set-up</t>
  </si>
  <si>
    <t xml:space="preserve">refund_rate</t>
  </si>
  <si>
    <t xml:space="preserve">Share of bookings refunded</t>
  </si>
  <si>
    <t xml:space="preserve">Free events see 28% no-shows vs 17% paid (PheedLoop, search): prepaying cuts no-shows</t>
  </si>
  <si>
    <t xml:space="preserve">group_trips_member</t>
  </si>
  <si>
    <t xml:space="preserve">Group trips per member per year</t>
  </si>
  <si>
    <t xml:space="preserve">trips / year</t>
  </si>
  <si>
    <t xml:space="preserve">group_member_share</t>
  </si>
  <si>
    <t xml:space="preserve">Share of sign-ups who join a group trip in a year</t>
  </si>
  <si>
    <t xml:space="preserve">Weekend test gives a first read</t>
  </si>
  <si>
    <t xml:space="preserve">group_mod_min</t>
  </si>
  <si>
    <t xml:space="preserve">Trust-and-safety moderation per group trip</t>
  </si>
  <si>
    <t xml:space="preserve">Online Safety Act duties apply at any size (Area 12)</t>
  </si>
  <si>
    <t xml:space="preserve">aff_commission</t>
  </si>
  <si>
    <t xml:space="preserve">Affiliate commission on experiences</t>
  </si>
  <si>
    <t xml:space="preserve">https://partnerresources.viator.com/</t>
  </si>
  <si>
    <t xml:space="preserve">Viator 8%, 30-day cookie. GetYourGuide 8% (search)</t>
  </si>
  <si>
    <t xml:space="preserve">aff_plan_share</t>
  </si>
  <si>
    <t xml:space="preserve">Share of plans with a bookable paid experience</t>
  </si>
  <si>
    <t xml:space="preserve">Most moments are free (walks, parks, views)</t>
  </si>
  <si>
    <t xml:space="preserve">aff_click_book</t>
  </si>
  <si>
    <t xml:space="preserve">Booking rate when a bookable stop is shown</t>
  </si>
  <si>
    <t xml:space="preserve">aff_ticket</t>
  </si>
  <si>
    <t xml:space="preserve">Average ticket per booking</t>
  </si>
  <si>
    <t xml:space="preserve">Promoted experiences (ads)</t>
  </si>
  <si>
    <t xml:space="preserve">cpm</t>
  </si>
  <si>
    <t xml:space="preserve">Revenue per 1,000 promoted impressions (CPM)</t>
  </si>
  <si>
    <t xml:space="preserve">FOUNDER</t>
  </si>
  <si>
    <t xml:space="preserve">KICKOFF_PROMPT.md (founder brief)</t>
  </si>
  <si>
    <t xml:space="preserve">Founder reality check. Buy-side: Reddit $3-12, Meta UK feed £7.50-14 (fetched)</t>
  </si>
  <si>
    <t xml:space="preserve">impr_mau</t>
  </si>
  <si>
    <t xml:space="preserve">Promoted impressions per monthly active user</t>
  </si>
  <si>
    <t xml:space="preserve">per month</t>
  </si>
  <si>
    <t xml:space="preserve">Implied by the brief: 20m impressions a year ~ 83k MAU</t>
  </si>
  <si>
    <t xml:space="preserve">fill_rate</t>
  </si>
  <si>
    <t xml:space="preserve">Share of impressions sold</t>
  </si>
  <si>
    <t xml:space="preserve">The brief assumes 100%; real fill will be lower</t>
  </si>
  <si>
    <t xml:space="preserve">mau_per_signup</t>
  </si>
  <si>
    <t xml:space="preserve">Monthly active users per cumulative sign-up</t>
  </si>
  <si>
    <t xml:space="preserve">Acquisition</t>
  </si>
  <si>
    <t xml:space="preserve">post_hours</t>
  </si>
  <si>
    <t xml:space="preserve">Founder time per community post (write, reply)</t>
  </si>
  <si>
    <t xml:space="preserve">hours</t>
  </si>
  <si>
    <t xml:space="preserve">Recruitment posts for Tests A-D measure this (D21)</t>
  </si>
  <si>
    <t xml:space="preserve">signups_post</t>
  </si>
  <si>
    <t xml:space="preserve">Sign-ups per community post</t>
  </si>
  <si>
    <t xml:space="preserve">sign-ups</t>
  </si>
  <si>
    <t xml:space="preserve">Recruitment posts measure this (D21)</t>
  </si>
  <si>
    <t xml:space="preserve">ref_reward</t>
  </si>
  <si>
    <t xml:space="preserve">Referral reward (paid when the friend finishes onboarding)</t>
  </si>
  <si>
    <t xml:space="preserve">ref_conv_mult</t>
  </si>
  <si>
    <t xml:space="preserve">Conversion uplift for referred users</t>
  </si>
  <si>
    <t xml:space="preserve">x</t>
  </si>
  <si>
    <t xml:space="preserve">meta_cpc</t>
  </si>
  <si>
    <t xml:space="preserve">Meta cost per click, UK</t>
  </si>
  <si>
    <t xml:space="preserve">https://adlibrary.com/posts/meta-ads-average-cpc-cpm-uk-ecommerce</t>
  </si>
  <si>
    <t xml:space="preserve">Third-party UK ecommerce 2026 range £0.45-1.10; midpoint</t>
  </si>
  <si>
    <t xml:space="preserve">reddit_cpc_usd</t>
  </si>
  <si>
    <t xml:space="preserve">Reddit cost per click</t>
  </si>
  <si>
    <t xml:space="preserve">USD</t>
  </si>
  <si>
    <t xml:space="preserve">https://benly.ai/learn/reddit-ads/reddit-ads-cost-benchmarks</t>
  </si>
  <si>
    <t xml:space="preserve">Third-party: $0.50-3.00 by targeting; ecommerce ~$1.00</t>
  </si>
  <si>
    <t xml:space="preserve">click_signup</t>
  </si>
  <si>
    <t xml:space="preserve">Landing page visit to sign-up</t>
  </si>
  <si>
    <t xml:space="preserve">Phase 3 pass threshold; Test D measures</t>
  </si>
  <si>
    <t xml:space="preserve">ltv_cac_target</t>
  </si>
  <si>
    <t xml:space="preserve">LTV:CAC target</t>
  </si>
  <si>
    <t xml:space="preserve">Common rule of thumb (UNVERIFIED)</t>
  </si>
  <si>
    <t xml:space="preserve">Founder hours</t>
  </si>
  <si>
    <t xml:space="preserve">onb_support_min</t>
  </si>
  <si>
    <t xml:space="preserve">Support per new sign-up</t>
  </si>
  <si>
    <t xml:space="preserve">Test A should log this</t>
  </si>
  <si>
    <t xml:space="preserve">moment_min</t>
  </si>
  <si>
    <t xml:space="preserve">Time to add and check one moment</t>
  </si>
  <si>
    <t xml:space="preserve">Area 2 schema, shot card for ~40%</t>
  </si>
  <si>
    <t xml:space="preserve">moments_month</t>
  </si>
  <si>
    <t xml:space="preserve">New moments added per month</t>
  </si>
  <si>
    <t xml:space="preserve">moments</t>
  </si>
  <si>
    <t xml:space="preserve">Keeps content fresh in one city</t>
  </si>
  <si>
    <t xml:space="preserve">week_budget</t>
  </si>
  <si>
    <t xml:space="preserve">Founder hours per week</t>
  </si>
  <si>
    <t xml:space="preserve">CLAUDE.md (founder)</t>
  </si>
  <si>
    <t xml:space="preserve">Example of the expected format: row "fx" above — value in C (blue), unit, status, source URL and access date.</t>
  </si>
  <si>
    <t xml:space="preserve">Price tables — models and transcription services a stack can pick (Costs rows 6-7)</t>
  </si>
  <si>
    <t xml:space="preserve">Claude API (USD per million tokens, standard; Batch API is 50% off)</t>
  </si>
  <si>
    <t xml:space="preserve">Model</t>
  </si>
  <si>
    <t xml:space="preserve">Output</t>
  </si>
  <si>
    <t xml:space="preserve">Cache read</t>
  </si>
  <si>
    <t xml:space="preserve">Claude Haiku 4.5</t>
  </si>
  <si>
    <t xml:space="preserve">https://platform.claude.com/docs/en/about-claude/pricing</t>
  </si>
  <si>
    <t xml:space="preserve">Claude Sonnet 5</t>
  </si>
  <si>
    <t xml:space="preserve">Claude Opus 5</t>
  </si>
  <si>
    <t xml:space="preserve">Claude Opus 5.5</t>
  </si>
  <si>
    <t xml:space="preserve">Sonnet 5 at $2/$10 is now the standard price (the $3/$15 rise was cancelled). Opus 5.5 cache hits are 0.05x input.</t>
  </si>
  <si>
    <t xml:space="preserve">Transcription (USD per audio minute, file/pre-recorded)</t>
  </si>
  <si>
    <t xml:space="preserve">Service</t>
  </si>
  <si>
    <t xml:space="preserve">USD / min</t>
  </si>
  <si>
    <t xml:space="preserve">gpt-4o-mini-transcribe</t>
  </si>
  <si>
    <t xml:space="preserve">https://developers.openai.com/api/docs/pricing</t>
  </si>
  <si>
    <t xml:space="preserve">gpt-transcribe</t>
  </si>
  <si>
    <t xml:space="preserve">gpt-4o-transcribe</t>
  </si>
  <si>
    <t xml:space="preserve">Deepgram Nova-3</t>
  </si>
  <si>
    <t xml:space="preserve">Whisper-family models invent text in ~1% of transcripts, so v0 reads back what it heard (Area 1).</t>
  </si>
  <si>
    <t xml:space="preserve">Costs per user for three stacks (GBP)</t>
  </si>
  <si>
    <t xml:space="preserve">Stack choices in rows 6-15 are levers. Everything else is a formula of Inputs and PriceTables.</t>
  </si>
  <si>
    <t xml:space="preserve">Note</t>
  </si>
  <si>
    <t xml:space="preserve">Stack choices (edit the blue cells)</t>
  </si>
  <si>
    <t xml:space="preserve">Stack</t>
  </si>
  <si>
    <t xml:space="preserve">text</t>
  </si>
  <si>
    <t xml:space="preserve">Telegram, text or recorded clips, small model</t>
  </si>
  <si>
    <t xml:space="preserve">Telegram, voice host, frontier model</t>
  </si>
  <si>
    <t xml:space="preserve">Web live avatar, WhatsApp in trip</t>
  </si>
  <si>
    <t xml:space="preserve">Kickoff: cheapest = Telegram + small models; premium = live avatar</t>
  </si>
  <si>
    <t xml:space="preserve">LLM</t>
  </si>
  <si>
    <t xml:space="preserve">model</t>
  </si>
  <si>
    <t xml:space="preserve">Pick from PriceTables. Opus 5.5 ($4/$20) is cheaper than Opus 5</t>
  </si>
  <si>
    <t xml:space="preserve">Transcription</t>
  </si>
  <si>
    <t xml:space="preserve">service</t>
  </si>
  <si>
    <t xml:space="preserve">Pick from PriceTables</t>
  </si>
  <si>
    <t xml:space="preserve">Share answering by voice</t>
  </si>
  <si>
    <t xml:space="preserve">A live avatar is a voice conversation</t>
  </si>
  <si>
    <t xml:space="preserve">Host speaks with synthetic voice (1 = yes)</t>
  </si>
  <si>
    <t xml:space="preserve">Cheapest: text questions or pre-recorded human clips (one-off cost, not per user)</t>
  </si>
  <si>
    <t xml:space="preserve">Live avatar host (1 = yes)</t>
  </si>
  <si>
    <t xml:space="preserve">Tavus conversational video</t>
  </si>
  <si>
    <t xml:space="preserve">In-trip channel is WhatsApp (1 = yes)</t>
  </si>
  <si>
    <t xml:space="preserve">0 = Telegram</t>
  </si>
  <si>
    <t xml:space="preserve">Share of digital sales paid in Telegram Stars</t>
  </si>
  <si>
    <t xml:space="preserve">Telegram requires Stars for digital goods sold inside Telegram. Premium sells on the web through Stripe</t>
  </si>
  <si>
    <t xml:space="preserve">Web service</t>
  </si>
  <si>
    <t xml:space="preserve">Postgres</t>
  </si>
  <si>
    <t xml:space="preserve">Unit prices looked up for this stack</t>
  </si>
  <si>
    <t xml:space="preserve">LLM input price</t>
  </si>
  <si>
    <t xml:space="preserve">USD / MTok</t>
  </si>
  <si>
    <t xml:space="preserve">LLM output price</t>
  </si>
  <si>
    <t xml:space="preserve">Transcription price</t>
  </si>
  <si>
    <t xml:space="preserve">Cost per bot message</t>
  </si>
  <si>
    <t xml:space="preserve">WhatsApp: free inside the 24h window</t>
  </si>
  <si>
    <t xml:space="preserve">Weather cost per call (paid-tier rate)</t>
  </si>
  <si>
    <t xml:space="preserve">Zero while under 360 calls a day</t>
  </si>
  <si>
    <t xml:space="preserve">Stars: share of the user's price we receive</t>
  </si>
  <si>
    <t xml:space="preserve">The app store, Telegram and the withdrawal take the rest</t>
  </si>
  <si>
    <t xml:space="preserve">Onboarding cost per sign-up</t>
  </si>
  <si>
    <t xml:space="preserve">LLM follow-ups and extraction</t>
  </si>
  <si>
    <t xml:space="preserve">Host voice (text-to-speech)</t>
  </si>
  <si>
    <t xml:space="preserve">Live avatar video</t>
  </si>
  <si>
    <t xml:space="preserve">Whole session is billed, listening included</t>
  </si>
  <si>
    <t xml:space="preserve">Image embeddings</t>
  </si>
  <si>
    <t xml:space="preserve">D16</t>
  </si>
  <si>
    <t xml:space="preserve">Total onboarding cost per sign-up</t>
  </si>
  <si>
    <t xml:space="preserve">Cost per plan</t>
  </si>
  <si>
    <t xml:space="preserve">LLM (candidate scoring context, explanations)</t>
  </si>
  <si>
    <t xml:space="preserve">The solver (OR-Tools) runs on our server</t>
  </si>
  <si>
    <t xml:space="preserve">Weather</t>
  </si>
  <si>
    <t xml:space="preserve">Routing and places</t>
  </si>
  <si>
    <t xml:space="preserve">Messages (delivery, nudges, rating prompts)</t>
  </si>
  <si>
    <t xml:space="preserve">Total cost per plan</t>
  </si>
  <si>
    <t xml:space="preserve">Cost per active paying user per month</t>
  </si>
  <si>
    <t xml:space="preserve">Plans</t>
  </si>
  <si>
    <t xml:space="preserve">Re-engagement messages</t>
  </si>
  <si>
    <t xml:space="preserve">Storage</t>
  </si>
  <si>
    <t xml:space="preserve">Hosting (per-user share of extra units)</t>
  </si>
  <si>
    <t xml:space="preserve">Total cash cost per payer-month</t>
  </si>
  <si>
    <t xml:space="preserve">Founder support time per payer-month</t>
  </si>
  <si>
    <t xml:space="preserve">Total incl. founder time at shadow rate</t>
  </si>
  <si>
    <t xml:space="preserve">Founder time dwarfs cash cost</t>
  </si>
  <si>
    <t xml:space="preserve">Fixed costs per month</t>
  </si>
  <si>
    <t xml:space="preserve">Hosting base unit</t>
  </si>
  <si>
    <t xml:space="preserve">Live avatar plan fee</t>
  </si>
  <si>
    <t xml:space="preserve">ICO data protection fee</t>
  </si>
  <si>
    <t xml:space="preserve">Total fixed cost</t>
  </si>
  <si>
    <t xml:space="preserve">Weather is free up to 360 calls a day</t>
  </si>
  <si>
    <t xml:space="preserve">Acquisition: cost of free usage</t>
  </si>
  <si>
    <t xml:space="preserve">Onboarding + free plan per sign-up</t>
  </si>
  <si>
    <t xml:space="preserve">Added to CAC: every sign-up costs this whether or not they pay</t>
  </si>
  <si>
    <t xml:space="preserve">Messaging: WhatsApp vs Telegram (per active paying user per month)</t>
  </si>
  <si>
    <t xml:space="preserve">Telegram</t>
  </si>
  <si>
    <t xml:space="preserve">Same in every column: channel comparison</t>
  </si>
  <si>
    <t xml:space="preserve">WhatsApp</t>
  </si>
  <si>
    <t xml:space="preserve">Utility templates outside the window + marketing re-engagement</t>
  </si>
  <si>
    <t xml:space="preserve">Revenue model 1: subscription (monthly or annual)</t>
  </si>
  <si>
    <t xml:space="preserve">Freemium: onboarding + one free plan, then pay. Conversion and retention are RevenueCat 2026 medians.</t>
  </si>
  <si>
    <t xml:space="preserve">Prices and payment costs</t>
  </si>
  <si>
    <t xml:space="preserve">Monthly price</t>
  </si>
  <si>
    <t xml:space="preserve">Share paid in Telegram Stars</t>
  </si>
  <si>
    <t xml:space="preserve">Stars: share of price received</t>
  </si>
  <si>
    <t xml:space="preserve">Net received per monthly payment</t>
  </si>
  <si>
    <t xml:space="preserve">Stars: after store, Telegram and withdrawal. Stripe: after VAT (if registered) and 1.5% + 20p</t>
  </si>
  <si>
    <t xml:space="preserve">Net received per annual payment</t>
  </si>
  <si>
    <t xml:space="preserve">Contribution</t>
  </si>
  <si>
    <t xml:space="preserve">Cash cost per payer-month</t>
  </si>
  <si>
    <t xml:space="preserve">Contribution per monthly payer per month</t>
  </si>
  <si>
    <t xml:space="preserve">Contribution per annual payer per year</t>
  </si>
  <si>
    <t xml:space="preserve">Contribution margin, monthly plan</t>
  </si>
  <si>
    <t xml:space="preserve">% of price</t>
  </si>
  <si>
    <t xml:space="preserve">Retention to LTV</t>
  </si>
  <si>
    <t xml:space="preserve">Monthly plan: share still paying each month</t>
  </si>
  <si>
    <t xml:space="preserve">Constant churn implied by year-one retention</t>
  </si>
  <si>
    <t xml:space="preserve">Expected paid months, monthly plan</t>
  </si>
  <si>
    <t xml:space="preserve">months</t>
  </si>
  <si>
    <t xml:space="preserve">Geometric lifetime, no cap</t>
  </si>
  <si>
    <t xml:space="preserve">Expected paid years, annual plan</t>
  </si>
  <si>
    <t xml:space="preserve">years</t>
  </si>
  <si>
    <t xml:space="preserve">LTV per monthly payer</t>
  </si>
  <si>
    <t xml:space="preserve">LTV per annual payer</t>
  </si>
  <si>
    <t xml:space="preserve">Blended LTV per new payer (contribution)</t>
  </si>
  <si>
    <t xml:space="preserve">Used for LTV:CAC</t>
  </si>
  <si>
    <t xml:space="preserve">Lifetime net revenue per new payer</t>
  </si>
  <si>
    <t xml:space="preserve">Used for revenue targets</t>
  </si>
  <si>
    <t xml:space="preserve">Expected paid months per new payer, blended</t>
  </si>
  <si>
    <t xml:space="preserve">Contribution per active payer per month</t>
  </si>
  <si>
    <t xml:space="preserve">Used for break-even</t>
  </si>
  <si>
    <t xml:space="preserve">Contribution per plan (trip)</t>
  </si>
  <si>
    <t xml:space="preserve">Contribution per payer-month incl. founder time</t>
  </si>
  <si>
    <t xml:space="preserve">Negative = founder time costs more than the margin</t>
  </si>
  <si>
    <t xml:space="preserve">Revenue model 2: pay per plan (trip)</t>
  </si>
  <si>
    <t xml:space="preserve">Plans sold inside Telegram are digital services, so they are paid in Stars.</t>
  </si>
  <si>
    <t xml:space="preserve">Per plan</t>
  </si>
  <si>
    <t xml:space="preserve">Fee per plan</t>
  </si>
  <si>
    <t xml:space="preserve">Net received per plan</t>
  </si>
  <si>
    <t xml:space="preserve">Stripe 20p as a share of the fee</t>
  </si>
  <si>
    <t xml:space="preserve">Why small tickets suit plan packs</t>
  </si>
  <si>
    <t xml:space="preserve">Contribution margin</t>
  </si>
  <si>
    <t xml:space="preserve">% of fee</t>
  </si>
  <si>
    <t xml:space="preserve">Per buyer</t>
  </si>
  <si>
    <t xml:space="preserve">Contribution per buyer per year</t>
  </si>
  <si>
    <t xml:space="preserve">No retention data: one-year value only</t>
  </si>
  <si>
    <t xml:space="preserve">Founder support per buyer per year</t>
  </si>
  <si>
    <t xml:space="preserve">One support contact per plan</t>
  </si>
  <si>
    <t xml:space="preserve">Contribution per buyer per year incl. founder time</t>
  </si>
  <si>
    <t xml:space="preserve">Revenue model 3: commission on group trips</t>
  </si>
  <si>
    <t xml:space="preserve">Blocked until the legal gates clear. Handling other people's money needs a licensed marketplace payment provider.</t>
  </si>
  <si>
    <t xml:space="preserve">Per group trip</t>
  </si>
  <si>
    <t xml:space="preserve">Attendees</t>
  </si>
  <si>
    <t xml:space="preserve">Spend per attendee</t>
  </si>
  <si>
    <t xml:space="preserve">Money collected</t>
  </si>
  <si>
    <t xml:space="preserve">Real-world services: card payments allowed, not Stars</t>
  </si>
  <si>
    <t xml:space="preserve">Commission (net of VAT if registered)</t>
  </si>
  <si>
    <t xml:space="preserve">Commission lost to refunds</t>
  </si>
  <si>
    <t xml:space="preserve">Card fees on all money collected</t>
  </si>
  <si>
    <t xml:space="preserve">The platform pays processing on the full amount</t>
  </si>
  <si>
    <t xml:space="preserve">Plan cost (one shared plan)</t>
  </si>
  <si>
    <t xml:space="preserve">Messages to the other attendees</t>
  </si>
  <si>
    <t xml:space="preserve">Contribution per group trip</t>
  </si>
  <si>
    <t xml:space="preserve">Contribution per attendee</t>
  </si>
  <si>
    <t xml:space="preserve">Take rate after costs</t>
  </si>
  <si>
    <t xml:space="preserve">% of money collected</t>
  </si>
  <si>
    <t xml:space="preserve">Moderation per trip</t>
  </si>
  <si>
    <t xml:space="preserve">Contribution per trip incl. founder time</t>
  </si>
  <si>
    <t xml:space="preserve">Net revenue per trip (for targets)</t>
  </si>
  <si>
    <t xml:space="preserve">Revenue model 4: affiliate commission on bookable experiences</t>
  </si>
  <si>
    <t xml:space="preserve">Booking.com (25-40% of its own commission, search) is left out: London day trips need no hotel.</t>
  </si>
  <si>
    <t xml:space="preserve">Per plan (plans free to the user)</t>
  </si>
  <si>
    <t xml:space="preserve">Plans with a bookable paid experience</t>
  </si>
  <si>
    <t xml:space="preserve">Booking rate</t>
  </si>
  <si>
    <t xml:space="preserve">Average ticket</t>
  </si>
  <si>
    <t xml:space="preserve">Commission rate</t>
  </si>
  <si>
    <t xml:space="preserve">Viator 8% (fetched), GetYourGuide 8% (search)</t>
  </si>
  <si>
    <t xml:space="preserve">Revenue per plan</t>
  </si>
  <si>
    <t xml:space="preserve">Per active user</t>
  </si>
  <si>
    <t xml:space="preserve">Hosting and storage per active user</t>
  </si>
  <si>
    <t xml:space="preserve">Contribution per active user per month</t>
  </si>
  <si>
    <t xml:space="preserve">Revenue per plan if every stop were bookable</t>
  </si>
  <si>
    <t xml:space="preserve">Pull toward paid stops: a conflict with a free-moment product</t>
  </si>
  <si>
    <t xml:space="preserve">Revenue model 5: promoted experiences (CPM)</t>
  </si>
  <si>
    <t xml:space="preserve">Sponsored moments must be labelled as ads, and a paid slot competes with the predicted-feeling ranking.</t>
  </si>
  <si>
    <t xml:space="preserve">Per monthly active user (MAU)</t>
  </si>
  <si>
    <t xml:space="preserve">CPM</t>
  </si>
  <si>
    <t xml:space="preserve">Promoted impressions per MAU per month</t>
  </si>
  <si>
    <t xml:space="preserve">impressions</t>
  </si>
  <si>
    <t xml:space="preserve">Fill rate</t>
  </si>
  <si>
    <t xml:space="preserve">Revenue per MAU per month</t>
  </si>
  <si>
    <t xml:space="preserve">Revenue per MAU per year</t>
  </si>
  <si>
    <t xml:space="preserve">Cost per MAU per month</t>
  </si>
  <si>
    <t xml:space="preserve">Contribution per MAU per month</t>
  </si>
  <si>
    <t xml:space="preserve">Reality check from the brief (£100k a year)</t>
  </si>
  <si>
    <t xml:space="preserve">Impressions a year for £100k</t>
  </si>
  <si>
    <t xml:space="preserve">Brief: ~20m</t>
  </si>
  <si>
    <t xml:space="preserve">MAU needed for £100k</t>
  </si>
  <si>
    <t xml:space="preserve">MAU</t>
  </si>
  <si>
    <t xml:space="preserve">Brief: ~83k</t>
  </si>
  <si>
    <t xml:space="preserve">Customer acquisition cost (CAC) per paying user, by channel</t>
  </si>
  <si>
    <t xml:space="preserve">CAC = (channel cost per sign-up + onboarding and free-plan cost per sign-up) ÷ sign-up-to-paying conversion.</t>
  </si>
  <si>
    <t xml:space="preserve">Channel</t>
  </si>
  <si>
    <t xml:space="preserve">Cash per sign-up (£)</t>
  </si>
  <si>
    <t xml:space="preserve">Founder h per sign-up</t>
  </si>
  <si>
    <t xml:space="preserve">Conversion to paying</t>
  </si>
  <si>
    <t xml:space="preserve">CAC Cheapest (£)</t>
  </si>
  <si>
    <t xml:space="preserve">CAC Default (£)</t>
  </si>
  <si>
    <t xml:space="preserve">CAC Premium (£)</t>
  </si>
  <si>
    <t xml:space="preserve">Founder h per payer</t>
  </si>
  <si>
    <t xml:space="preserve">CAC Default incl. founder time (£)</t>
  </si>
  <si>
    <t xml:space="preserve">Source / note</t>
  </si>
  <si>
    <t xml:space="preserve">Recruitment posts for Tests A-D measure sign-ups per post (D21)</t>
  </si>
  <si>
    <t xml:space="preserve">Reward and uplift are guesses</t>
  </si>
  <si>
    <t xml:space="preserve">CPC £0.45-1.10 (third-party, fetched); visit to sign-up at the 10% Phase 3 threshold</t>
  </si>
  <si>
    <t xml:space="preserve">CPC $0.50-3.00 (third-party, fetched)</t>
  </si>
  <si>
    <t xml:space="preserve">Hard paywall: Meta CAC, Default stack</t>
  </si>
  <si>
    <t xml:space="preserve">Hard paywalls convert 10.7% vs 2.1% (RevenueCat, fetched), with near-identical year-one retention</t>
  </si>
  <si>
    <t xml:space="preserve">Organic posting costs no cash but ~5 founder hours per paying user at base inputs. That is the binding constraint.</t>
  </si>
  <si>
    <t xml:space="preserve">Retention → LTV → LTV:CAC</t>
  </si>
  <si>
    <t xml:space="preserve">Subscription LTV from year-one retention (RevenueCat 2026). Payback = CAC ÷ contribution per active payer-month.</t>
  </si>
  <si>
    <t xml:space="preserve">Blended LTV per new payer (£)</t>
  </si>
  <si>
    <t xml:space="preserve">Contribution per active payer-month (£)</t>
  </si>
  <si>
    <t xml:space="preserve">LTV:CAC by channel</t>
  </si>
  <si>
    <t xml:space="preserve">Payback months (Default)</t>
  </si>
  <si>
    <t xml:space="preserve">Default vs target</t>
  </si>
  <si>
    <t xml:space="preserve">Paid social: Meta, hard paywall</t>
  </si>
  <si>
    <t xml:space="preserve">Value per sign-up vs cost per sign-up, all five models (Default stack, year one, Meta)</t>
  </si>
  <si>
    <t xml:space="preserve">Value per sign-up (£)</t>
  </si>
  <si>
    <t xml:space="preserve">Cost per sign-up via Meta (£)</t>
  </si>
  <si>
    <t xml:space="preserve">Ratio</t>
  </si>
  <si>
    <t xml:space="preserve">Basis</t>
  </si>
  <si>
    <t xml:space="preserve">Lifetime contribution × conversion</t>
  </si>
  <si>
    <t xml:space="preserve">One-year contribution × buyer share</t>
  </si>
  <si>
    <t xml:space="preserve">One-year contribution × member share</t>
  </si>
  <si>
    <t xml:space="preserve">One-year contribution × active share</t>
  </si>
  <si>
    <t xml:space="preserve">A ratio below 1 means each paid sign-up loses money in year one before fixed costs.</t>
  </si>
  <si>
    <t xml:space="preserve">Break-even and users needed for revenue targets</t>
  </si>
  <si>
    <t xml:space="preserve">Break-even covers fixed costs only (no founder salary). Revenue targets are net receipts per year, in steady state.</t>
  </si>
  <si>
    <t xml:space="preserve">Break-even volume per month</t>
  </si>
  <si>
    <t xml:space="preserve">Subscription: active paying users</t>
  </si>
  <si>
    <t xml:space="preserve">"never" = contribution per unit is zero or negative</t>
  </si>
  <si>
    <t xml:space="preserve">Pay per plan: plans sold per month</t>
  </si>
  <si>
    <t xml:space="preserve">Group trips per month</t>
  </si>
  <si>
    <t xml:space="preserve">Affiliate: monthly active users</t>
  </si>
  <si>
    <t xml:space="preserve">Promoted: monthly active users</t>
  </si>
  <si>
    <t xml:space="preserve">Meta cost per sign-up incl. onboarding, Default (£)</t>
  </si>
  <si>
    <t xml:space="preserve">Users needed per year for a revenue target (Default stack)</t>
  </si>
  <si>
    <t xml:space="preserve">Annual net revenue target</t>
  </si>
  <si>
    <t xml:space="preserve">Targets from the brief (edit to test others)</t>
  </si>
  <si>
    <t xml:space="preserve">New payers needed per year</t>
  </si>
  <si>
    <t xml:space="preserve">Steady state: revenue a year = new payers a year × lifetime revenue per payer</t>
  </si>
  <si>
    <t xml:space="preserve">Sign-ups needed per year</t>
  </si>
  <si>
    <t xml:space="preserve">Active paying users at any time</t>
  </si>
  <si>
    <t xml:space="preserve">Meta ad spend per year if all paid (£)</t>
  </si>
  <si>
    <t xml:space="preserve">Sign-ups × Meta cost per sign-up</t>
  </si>
  <si>
    <t xml:space="preserve">Founder hours per year if all organic</t>
  </si>
  <si>
    <t xml:space="preserve">Budget is 7.5 h a week, 390 h a year, for everything</t>
  </si>
  <si>
    <t xml:space="preserve">Plans sold per year</t>
  </si>
  <si>
    <t xml:space="preserve">Buyers needed</t>
  </si>
  <si>
    <t xml:space="preserve">Assumes buyers do not carry over to the next year</t>
  </si>
  <si>
    <t xml:space="preserve">Group trips per year</t>
  </si>
  <si>
    <t xml:space="preserve">Attendees per year</t>
  </si>
  <si>
    <t xml:space="preserve">Members needed</t>
  </si>
  <si>
    <t xml:space="preserve">Moderation hours per year</t>
  </si>
  <si>
    <t xml:space="preserve">Plans per year</t>
  </si>
  <si>
    <t xml:space="preserve">Monthly active users needed</t>
  </si>
  <si>
    <t xml:space="preserve">Cumulative sign-ups needed</t>
  </si>
  <si>
    <t xml:space="preserve">Brief check: £100k ≈ 83k MAU at £5 CPM</t>
  </si>
  <si>
    <t xml:space="preserve">VAT</t>
  </si>
  <si>
    <t xml:space="preserve">Must register for VAT?</t>
  </si>
  <si>
    <t xml:space="preserve">Registered: VAT-inclusive Stripe prices lose 1/6 to HMRC (switch on Inputs)</t>
  </si>
  <si>
    <t xml:space="preserve">Sensitivity: subscription, Meta channel</t>
  </si>
  <si>
    <t xml:space="preserve">Each row changes one input (blue) and links the rest (green). Formulas restate the Subscription, CAC and BreakEven logic.</t>
  </si>
  <si>
    <t xml:space="preserve">Scenario</t>
  </si>
  <si>
    <t xml:space="preserve">Monthly price (£)</t>
  </si>
  <si>
    <t xml:space="preserve">Annual price (£)</t>
  </si>
  <si>
    <t xml:space="preserve">Conversion</t>
  </si>
  <si>
    <t xml:space="preserve">Y1 retention monthly</t>
  </si>
  <si>
    <t xml:space="preserve">Y1 retention annual</t>
  </si>
  <si>
    <t xml:space="preserve">Meta CPC (£)</t>
  </si>
  <si>
    <t xml:space="preserve">Stars share</t>
  </si>
  <si>
    <t xml:space="preserve">Cost per payer-month (£)</t>
  </si>
  <si>
    <t xml:space="preserve">Acquisition cost per sign-up (£)</t>
  </si>
  <si>
    <t xml:space="preserve">Net per monthly payment (£)</t>
  </si>
  <si>
    <t xml:space="preserve">Net per annual payment (£)</t>
  </si>
  <si>
    <t xml:space="preserve">Blended LTV (£)</t>
  </si>
  <si>
    <t xml:space="preserve">CAC (£)</t>
  </si>
  <si>
    <t xml:space="preserve">LTV:CAC</t>
  </si>
  <si>
    <t xml:space="preserve">Sign-ups a year for £50k</t>
  </si>
  <si>
    <t xml:space="preserve">Base (Default stack)</t>
  </si>
  <si>
    <t xml:space="preserve">Monthly price £2.99, annual £17.99</t>
  </si>
  <si>
    <t xml:space="preserve">Monthly price £9.99, annual £59.99</t>
  </si>
  <si>
    <t xml:space="preserve">Conversion 1.0%</t>
  </si>
  <si>
    <t xml:space="preserve">Conversion 10.7% (hard paywall)</t>
  </si>
  <si>
    <t xml:space="preserve">Monthly retention 6%</t>
  </si>
  <si>
    <t xml:space="preserve">Monthly retention 14%</t>
  </si>
  <si>
    <t xml:space="preserve">Meta CPC £0.45</t>
  </si>
  <si>
    <t xml:space="preserve">Meta CPC £1.10</t>
  </si>
  <si>
    <t xml:space="preserve">Cheapest stack costs</t>
  </si>
  <si>
    <t xml:space="preserve">Premium stack costs</t>
  </si>
  <si>
    <t xml:space="preserve">Web checkout (Stripe) instead of Stars</t>
  </si>
  <si>
    <t xml:space="preserve">Upside: £9.99/£59.99, hard paywall, web checkout</t>
  </si>
  <si>
    <t xml:space="preserve">Yellow = the changed input (blue if typed here, green if it links to another input or stack).</t>
  </si>
  <si>
    <t xml:space="preserve">Two-way: LTV:CAC (Default stack, Meta) by price level and conversion</t>
  </si>
  <si>
    <t xml:space="preserve">Price multiplier (× both prices) ↓ / conversion →</t>
  </si>
  <si>
    <t xml:space="preserve">Cells at or above the LTV:CAC target (Inputs) are viable on paid acquisition.</t>
  </si>
  <si>
    <t xml:space="preserve">Founder hours per 100 users</t>
  </si>
  <si>
    <t xml:space="preserve">All inputs are GUESSES until Tests A-D and the weekend test log real times.</t>
  </si>
  <si>
    <t xml:space="preserve">Hours</t>
  </si>
  <si>
    <t xml:space="preserve">One-off, per 100 new sign-ups</t>
  </si>
  <si>
    <t xml:space="preserve">Organic posting to recruit them</t>
  </si>
  <si>
    <t xml:space="preserve">Zero if acquired by paid ads</t>
  </si>
  <si>
    <t xml:space="preserve">Onboarding support</t>
  </si>
  <si>
    <t xml:space="preserve">Total per 100 new sign-ups</t>
  </si>
  <si>
    <t xml:space="preserve">Recurring, per 100 active paying users</t>
  </si>
  <si>
    <t xml:space="preserve">Support</t>
  </si>
  <si>
    <t xml:space="preserve">hours / month</t>
  </si>
  <si>
    <t xml:space="preserve">Group-trip moderation (if all 100 are group members)</t>
  </si>
  <si>
    <t xml:space="preserve">Total per 100 active users</t>
  </si>
  <si>
    <t xml:space="preserve">Fixed, whatever the user count</t>
  </si>
  <si>
    <t xml:space="preserve">Moment curation</t>
  </si>
  <si>
    <t xml:space="preserve">One city</t>
  </si>
  <si>
    <t xml:space="preserve">Capacity against the 7.5 h/week budget</t>
  </si>
  <si>
    <t xml:space="preserve">Monthly founder budget</t>
  </si>
  <si>
    <t xml:space="preserve">Left after curation</t>
  </si>
  <si>
    <t xml:space="preserve">Max active users supported (support + moderation only)</t>
  </si>
  <si>
    <t xml:space="preserve">Before any product, sales or admin work</t>
  </si>
  <si>
    <t xml:space="preserve">Max new organic sign-ups per month (if all spare time went to them)</t>
  </si>
  <si>
    <t xml:space="preserve">sign-ups / month</t>
  </si>
  <si>
    <t xml:space="preserve">Paying users that many sign-ups make per month</t>
  </si>
  <si>
    <t xml:space="preserve">payers / month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</si>
</sst>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\£#,##0.0000;&quot;(£&quot;#,##0.0000\);\-"/>
    <numFmt numFmtId="166" formatCode="\£#,##0.00;&quot;(£&quot;#,##0.00\);\-"/>
    <numFmt numFmtId="167" formatCode="0.0\x;\(0.0&quot;x)&quot;;\-"/>
    <numFmt numFmtId="168" formatCode="#,##0;\(#,##0\);\-"/>
    <numFmt numFmtId="169" formatCode="0.0000"/>
    <numFmt numFmtId="170" formatCode="0.0%;\(0.0%\);\-"/>
    <numFmt numFmtId="171" formatCode="\£#,##0;&quot;(£&quot;#,##0\);\-"/>
    <numFmt numFmtId="172" formatCode="\$#,##0.0000;&quot;($&quot;#,##0.0000\);\-"/>
    <numFmt numFmtId="173" formatCode="\$#,##0.00;&quot;($&quot;#,##0.00\);\-"/>
    <numFmt numFmtId="174" formatCode="#,##0.0;\(#,##0.0\);\-"/>
    <numFmt numFmtId="175" formatCode="@"/>
    <numFmt numFmtId="176" formatCode="#,##0.00;\(#,##0.00\);\-"/>
    <numFmt numFmtId="177" formatCode="0.0\x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F2F2F2"/>
      </patternFill>
    </fill>
    <fill>
      <patternFill patternType="solid">
        <fgColor rgb="FFF2F2F2"/>
        <bgColor rgb="FFFFFFCC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ecb.europa.eu/stats/eurofxref/eurofxref-daily.xml" TargetMode="External"/><Relationship Id="rId2" Type="http://schemas.openxmlformats.org/officeDocument/2006/relationships/hyperlink" Target="https://www.gov.uk/vat-rates" TargetMode="External"/><Relationship Id="rId3" Type="http://schemas.openxmlformats.org/officeDocument/2006/relationships/hyperlink" Target="https://www.gov.uk/vat-registration/when-to-register" TargetMode="External"/><Relationship Id="rId4" Type="http://schemas.openxmlformats.org/officeDocument/2006/relationships/hyperlink" Target="https://ico.org.uk/for-organisations/data-protection-fee/data-protection-fee/" TargetMode="External"/><Relationship Id="rId5" Type="http://schemas.openxmlformats.org/officeDocument/2006/relationships/hyperlink" Target="https://stripe.com/gb/pricing" TargetMode="External"/><Relationship Id="rId6" Type="http://schemas.openxmlformats.org/officeDocument/2006/relationships/hyperlink" Target="https://stripe.com/gb/pricing" TargetMode="External"/><Relationship Id="rId7" Type="http://schemas.openxmlformats.org/officeDocument/2006/relationships/hyperlink" Target="https://developer.apple.com/app-store/small-business-program/" TargetMode="External"/><Relationship Id="rId8" Type="http://schemas.openxmlformats.org/officeDocument/2006/relationships/hyperlink" Target="https://telegram.org/tos/bot-developers" TargetMode="External"/><Relationship Id="rId9" Type="http://schemas.openxmlformats.org/officeDocument/2006/relationships/hyperlink" Target="https://dev.to/starsearn/telegram-stars-economics-for-bot-developers-what-your-stars-are-actually-worth-in-2026-2742" TargetMode="External"/><Relationship Id="rId10" Type="http://schemas.openxmlformats.org/officeDocument/2006/relationships/hyperlink" Target="https://adminhub.tools/blog/withdraw-telegram-stars/" TargetMode="External"/><Relationship Id="rId11" Type="http://schemas.openxmlformats.org/officeDocument/2006/relationships/hyperlink" Target="https://core.telegram.org/bots/faq" TargetMode="External"/><Relationship Id="rId12" Type="http://schemas.openxmlformats.org/officeDocument/2006/relationships/hyperlink" Target="https://payperwa.com/blog/whatsapp-business-api-pricing-uk-2026" TargetMode="External"/><Relationship Id="rId13" Type="http://schemas.openxmlformats.org/officeDocument/2006/relationships/hyperlink" Target="https://payperwa.com/blog/whatsapp-business-api-pricing-uk-2026" TargetMode="External"/><Relationship Id="rId14" Type="http://schemas.openxmlformats.org/officeDocument/2006/relationships/hyperlink" Target="https://render.com/pricing" TargetMode="External"/><Relationship Id="rId15" Type="http://schemas.openxmlformats.org/officeDocument/2006/relationships/hyperlink" Target="https://render.com/pricing" TargetMode="External"/><Relationship Id="rId16" Type="http://schemas.openxmlformats.org/officeDocument/2006/relationships/hyperlink" Target="https://render.com/pricing" TargetMode="External"/><Relationship Id="rId17" Type="http://schemas.openxmlformats.org/officeDocument/2006/relationships/hyperlink" Target="https://render.com/pricing" TargetMode="External"/><Relationship Id="rId18" Type="http://schemas.openxmlformats.org/officeDocument/2006/relationships/hyperlink" Target="https://render.com/pricing" TargetMode="External"/><Relationship Id="rId19" Type="http://schemas.openxmlformats.org/officeDocument/2006/relationships/hyperlink" Target="https://datahub.metoffice.gov.uk/pricing/site-specific" TargetMode="External"/><Relationship Id="rId20" Type="http://schemas.openxmlformats.org/officeDocument/2006/relationships/hyperlink" Target="https://datahub.metoffice.gov.uk/pricing/site-specific" TargetMode="External"/><Relationship Id="rId21" Type="http://schemas.openxmlformats.org/officeDocument/2006/relationships/hyperlink" Target="https://datahub.metoffice.gov.uk/pricing/site-specific" TargetMode="External"/><Relationship Id="rId22" Type="http://schemas.openxmlformats.org/officeDocument/2006/relationships/hyperlink" Target="https://www.tavus.io/pricing" TargetMode="External"/><Relationship Id="rId23" Type="http://schemas.openxmlformats.org/officeDocument/2006/relationships/hyperlink" Target="https://www.tavus.io/pricing" TargetMode="External"/><Relationship Id="rId24" Type="http://schemas.openxmlformats.org/officeDocument/2006/relationships/hyperlink" Target="https://www.tavus.io/pricing" TargetMode="External"/><Relationship Id="rId25" Type="http://schemas.openxmlformats.org/officeDocument/2006/relationships/hyperlink" Target="https://deepgram.com/pricing" TargetMode="External"/><Relationship Id="rId26" Type="http://schemas.openxmlformats.org/officeDocument/2006/relationships/hyperlink" Target="https://www.revenuecat.com/state-of-subscription-apps/" TargetMode="External"/><Relationship Id="rId27" Type="http://schemas.openxmlformats.org/officeDocument/2006/relationships/hyperlink" Target="https://www.revenuecat.com/state-of-subscription-apps/" TargetMode="External"/><Relationship Id="rId28" Type="http://schemas.openxmlformats.org/officeDocument/2006/relationships/hyperlink" Target="https://www.revenuecat.com/state-of-subscription-apps/" TargetMode="External"/><Relationship Id="rId29" Type="http://schemas.openxmlformats.org/officeDocument/2006/relationships/hyperlink" Target="https://www.revenuecat.com/state-of-subscription-apps/" TargetMode="External"/><Relationship Id="rId30" Type="http://schemas.openxmlformats.org/officeDocument/2006/relationships/hyperlink" Target="https://www.revenuecat.com/state-of-subscription-apps/" TargetMode="External"/><Relationship Id="rId31" Type="http://schemas.openxmlformats.org/officeDocument/2006/relationships/hyperlink" Target="https://partnerresources.viator.com/" TargetMode="External"/><Relationship Id="rId32" Type="http://schemas.openxmlformats.org/officeDocument/2006/relationships/hyperlink" Target="https://adlibrary.com/posts/meta-ads-average-cpc-cpm-uk-ecommerce" TargetMode="External"/><Relationship Id="rId33" Type="http://schemas.openxmlformats.org/officeDocument/2006/relationships/hyperlink" Target="https://benly.ai/learn/reddit-ads/reddit-ads-cost-benchmarks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platform.claude.com/docs/en/about-claude/pricing" TargetMode="External"/><Relationship Id="rId2" Type="http://schemas.openxmlformats.org/officeDocument/2006/relationships/hyperlink" Target="https://platform.claude.com/docs/en/about-claude/pricing" TargetMode="External"/><Relationship Id="rId3" Type="http://schemas.openxmlformats.org/officeDocument/2006/relationships/hyperlink" Target="https://platform.claude.com/docs/en/about-claude/pricing" TargetMode="External"/><Relationship Id="rId4" Type="http://schemas.openxmlformats.org/officeDocument/2006/relationships/hyperlink" Target="https://platform.claude.com/docs/en/about-claude/pricing" TargetMode="External"/><Relationship Id="rId5" Type="http://schemas.openxmlformats.org/officeDocument/2006/relationships/hyperlink" Target="https://developers.openai.com/api/docs/pricing" TargetMode="External"/><Relationship Id="rId6" Type="http://schemas.openxmlformats.org/officeDocument/2006/relationships/hyperlink" Target="https://developers.openai.com/api/docs/pricing" TargetMode="External"/><Relationship Id="rId7" Type="http://schemas.openxmlformats.org/officeDocument/2006/relationships/hyperlink" Target="https://developers.openai.com/api/docs/pricing" TargetMode="External"/><Relationship Id="rId8" Type="http://schemas.openxmlformats.org/officeDocument/2006/relationships/hyperlink" Target="https://deepgram.com/pricing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6"/>
    <col collapsed="false" customWidth="true" hidden="false" outlineLevel="0" max="5" min="5" style="0" width="6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4" t="s">
        <v>4</v>
      </c>
    </row>
    <row r="7" customFormat="false" ht="15" hidden="false" customHeight="false" outlineLevel="0" collapsed="false">
      <c r="A7" s="4" t="s">
        <v>5</v>
      </c>
    </row>
    <row r="8" customFormat="false" ht="15" hidden="false" customHeight="false" outlineLevel="0" collapsed="false">
      <c r="A8" s="4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5" t="s">
        <v>8</v>
      </c>
      <c r="B11" s="4" t="s">
        <v>9</v>
      </c>
    </row>
    <row r="12" customFormat="false" ht="15" hidden="false" customHeight="false" outlineLevel="0" collapsed="false">
      <c r="A12" s="5" t="s">
        <v>10</v>
      </c>
      <c r="B12" s="4" t="s">
        <v>11</v>
      </c>
    </row>
    <row r="13" customFormat="false" ht="15" hidden="false" customHeight="false" outlineLevel="0" collapsed="false">
      <c r="A13" s="5" t="s">
        <v>12</v>
      </c>
      <c r="B13" s="4" t="s">
        <v>13</v>
      </c>
    </row>
    <row r="14" customFormat="false" ht="15" hidden="false" customHeight="false" outlineLevel="0" collapsed="false">
      <c r="A14" s="5" t="s">
        <v>14</v>
      </c>
      <c r="B14" s="4" t="s">
        <v>15</v>
      </c>
    </row>
    <row r="15" customFormat="false" ht="15" hidden="false" customHeight="false" outlineLevel="0" collapsed="false">
      <c r="A15" s="5" t="s">
        <v>16</v>
      </c>
      <c r="B15" s="4" t="s">
        <v>17</v>
      </c>
    </row>
    <row r="16" customFormat="false" ht="15" hidden="false" customHeight="false" outlineLevel="0" collapsed="false">
      <c r="A16" s="5" t="s">
        <v>18</v>
      </c>
      <c r="B16" s="4" t="s">
        <v>19</v>
      </c>
    </row>
    <row r="17" customFormat="false" ht="15" hidden="false" customHeight="false" outlineLevel="0" collapsed="false">
      <c r="A17" s="5" t="s">
        <v>20</v>
      </c>
      <c r="B17" s="4" t="s">
        <v>21</v>
      </c>
    </row>
    <row r="18" customFormat="false" ht="15" hidden="false" customHeight="false" outlineLevel="0" collapsed="false">
      <c r="A18" s="5" t="s">
        <v>22</v>
      </c>
      <c r="B18" s="4" t="s">
        <v>23</v>
      </c>
    </row>
    <row r="19" customFormat="false" ht="15" hidden="false" customHeight="false" outlineLevel="0" collapsed="false">
      <c r="A19" s="5" t="s">
        <v>24</v>
      </c>
      <c r="B19" s="4" t="s">
        <v>25</v>
      </c>
    </row>
    <row r="21" customFormat="false" ht="15" hidden="false" customHeight="false" outlineLevel="0" collapsed="false">
      <c r="A21" s="3" t="s">
        <v>26</v>
      </c>
    </row>
    <row r="22" customFormat="false" ht="15" hidden="false" customHeight="false" outlineLevel="0" collapsed="false">
      <c r="A22" s="6" t="s">
        <v>27</v>
      </c>
      <c r="B22" s="6" t="s">
        <v>28</v>
      </c>
      <c r="C22" s="6" t="s">
        <v>29</v>
      </c>
      <c r="D22" s="6" t="s">
        <v>30</v>
      </c>
    </row>
    <row r="23" customFormat="false" ht="15" hidden="false" customHeight="false" outlineLevel="0" collapsed="false">
      <c r="A23" s="4" t="s">
        <v>31</v>
      </c>
      <c r="B23" s="7" t="n">
        <f aca="false">Costs!C29</f>
        <v>0.0565952309085421</v>
      </c>
      <c r="C23" s="7" t="n">
        <f aca="false">Costs!D29</f>
        <v>0.319197102324178</v>
      </c>
      <c r="D23" s="7" t="n">
        <f aca="false">Costs!E29</f>
        <v>4.46196800482946</v>
      </c>
    </row>
    <row r="24" customFormat="false" ht="15" hidden="false" customHeight="false" outlineLevel="0" collapsed="false">
      <c r="A24" s="4" t="s">
        <v>32</v>
      </c>
      <c r="B24" s="7" t="n">
        <f aca="false">Costs!C35</f>
        <v>0.018311902605896</v>
      </c>
      <c r="C24" s="7" t="n">
        <f aca="false">Costs!D35</f>
        <v>0.0862261796961465</v>
      </c>
      <c r="D24" s="7" t="n">
        <f aca="false">Costs!E35</f>
        <v>0.145990743535567</v>
      </c>
    </row>
    <row r="25" customFormat="false" ht="15" hidden="false" customHeight="false" outlineLevel="0" collapsed="false">
      <c r="A25" s="4" t="s">
        <v>33</v>
      </c>
      <c r="B25" s="7" t="n">
        <f aca="false">Costs!C41</f>
        <v>0.0334781495246001</v>
      </c>
      <c r="C25" s="7" t="n">
        <f aca="false">Costs!D41</f>
        <v>0.14025448517205</v>
      </c>
      <c r="D25" s="7" t="n">
        <f aca="false">Costs!E41</f>
        <v>0.313092758640205</v>
      </c>
    </row>
    <row r="26" customFormat="false" ht="15" hidden="false" customHeight="false" outlineLevel="0" collapsed="false">
      <c r="A26" s="4" t="s">
        <v>34</v>
      </c>
      <c r="B26" s="8" t="n">
        <f aca="false">Costs!C49</f>
        <v>15.1431733574806</v>
      </c>
      <c r="C26" s="8" t="n">
        <f aca="false">Costs!D49</f>
        <v>24.9530133816279</v>
      </c>
      <c r="D26" s="8" t="n">
        <f aca="false">Costs!E49</f>
        <v>83.0574504477312</v>
      </c>
    </row>
    <row r="27" customFormat="false" ht="15" hidden="false" customHeight="false" outlineLevel="0" collapsed="false">
      <c r="A27" s="4" t="s">
        <v>35</v>
      </c>
      <c r="B27" s="8" t="n">
        <f aca="false">Subscription!C26</f>
        <v>1.71912398157098</v>
      </c>
      <c r="C27" s="8" t="n">
        <f aca="false">Subscription!D26</f>
        <v>1.61234764592353</v>
      </c>
      <c r="D27" s="8" t="n">
        <f aca="false">Subscription!E26</f>
        <v>2.42800001880894</v>
      </c>
    </row>
    <row r="28" customFormat="false" ht="15" hidden="false" customHeight="false" outlineLevel="0" collapsed="false">
      <c r="A28" s="4" t="s">
        <v>36</v>
      </c>
      <c r="B28" s="8" t="n">
        <f aca="false">Subscription!C23</f>
        <v>25.668173758268</v>
      </c>
      <c r="C28" s="8" t="n">
        <f aca="false">Subscription!D23</f>
        <v>24.073900415536</v>
      </c>
      <c r="D28" s="8" t="n">
        <f aca="false">Subscription!E23</f>
        <v>36.2523744860531</v>
      </c>
    </row>
    <row r="29" customFormat="false" ht="15" hidden="false" customHeight="false" outlineLevel="0" collapsed="false">
      <c r="A29" s="4" t="s">
        <v>37</v>
      </c>
      <c r="B29" s="8" t="n">
        <f aca="false">PerTrip!C11</f>
        <v>1.83729111246948</v>
      </c>
      <c r="C29" s="8" t="n">
        <f aca="false">PerTrip!D11</f>
        <v>1.76937683537923</v>
      </c>
      <c r="D29" s="8" t="n">
        <f aca="false">PerTrip!E11</f>
        <v>2.59915925646443</v>
      </c>
    </row>
    <row r="30" customFormat="false" ht="15" hidden="false" customHeight="false" outlineLevel="0" collapsed="false">
      <c r="A30" s="4" t="s">
        <v>38</v>
      </c>
      <c r="B30" s="8" t="n">
        <f aca="false">GroupTrip!C14</f>
        <v>14.9816880973941</v>
      </c>
      <c r="C30" s="8" t="n">
        <f aca="false">GroupTrip!D14</f>
        <v>14.9137738203039</v>
      </c>
      <c r="D30" s="8" t="n">
        <f aca="false">GroupTrip!E14</f>
        <v>14.6149510011068</v>
      </c>
    </row>
    <row r="31" customFormat="false" ht="15" hidden="false" customHeight="false" outlineLevel="0" collapsed="false">
      <c r="A31" s="4" t="s">
        <v>39</v>
      </c>
      <c r="B31" s="7" t="n">
        <f aca="false">Affiliate!C12</f>
        <v>0.065688097394104</v>
      </c>
      <c r="C31" s="7" t="n">
        <f aca="false">Affiliate!D12</f>
        <v>-0.0022261796961465</v>
      </c>
      <c r="D31" s="7" t="n">
        <f aca="false">Affiliate!E12</f>
        <v>-0.061990743535567</v>
      </c>
    </row>
    <row r="32" customFormat="false" ht="15" hidden="false" customHeight="false" outlineLevel="0" collapsed="false">
      <c r="A32" s="4" t="s">
        <v>40</v>
      </c>
      <c r="B32" s="7" t="n">
        <f aca="false">Promoted!C12</f>
        <v>0.0848337530812959</v>
      </c>
      <c r="C32" s="7" t="n">
        <f aca="false">Promoted!D12</f>
        <v>0.045971694524097</v>
      </c>
      <c r="D32" s="7" t="n">
        <f aca="false">Promoted!E12</f>
        <v>0.00929798489536171</v>
      </c>
    </row>
    <row r="34" customFormat="false" ht="15" hidden="false" customHeight="false" outlineLevel="0" collapsed="false">
      <c r="A34" s="6" t="s">
        <v>41</v>
      </c>
    </row>
    <row r="35" customFormat="false" ht="15" hidden="false" customHeight="false" outlineLevel="0" collapsed="false">
      <c r="A35" s="4" t="s">
        <v>42</v>
      </c>
      <c r="C35" s="9" t="n">
        <f aca="false">LTV!C10</f>
        <v>1.33195805219197</v>
      </c>
    </row>
    <row r="36" customFormat="false" ht="15" hidden="false" customHeight="false" outlineLevel="0" collapsed="false">
      <c r="A36" s="4" t="s">
        <v>43</v>
      </c>
      <c r="C36" s="9" t="n">
        <f aca="false">LTV!C11</f>
        <v>0.26062362974015</v>
      </c>
    </row>
    <row r="37" customFormat="false" ht="15" hidden="false" customHeight="false" outlineLevel="0" collapsed="false">
      <c r="A37" s="4" t="s">
        <v>44</v>
      </c>
      <c r="C37" s="9" t="n">
        <f aca="false">LTV!C12</f>
        <v>0.0641599533550619</v>
      </c>
    </row>
    <row r="38" customFormat="false" ht="15" hidden="false" customHeight="false" outlineLevel="0" collapsed="false">
      <c r="A38" s="4" t="s">
        <v>45</v>
      </c>
      <c r="C38" s="9" t="n">
        <f aca="false">LTV!C13</f>
        <v>0.0637873205783754</v>
      </c>
    </row>
    <row r="40" customFormat="false" ht="15" hidden="false" customHeight="false" outlineLevel="0" collapsed="false">
      <c r="A40" s="6" t="s">
        <v>46</v>
      </c>
    </row>
    <row r="41" customFormat="false" ht="15" hidden="false" customHeight="false" outlineLevel="0" collapsed="false">
      <c r="A41" s="4" t="s">
        <v>47</v>
      </c>
      <c r="C41" s="10" t="n">
        <f aca="false">BreakEven!C18</f>
        <v>90987.0537407288</v>
      </c>
    </row>
    <row r="42" customFormat="false" ht="15" hidden="false" customHeight="false" outlineLevel="0" collapsed="false">
      <c r="A42" s="4" t="s">
        <v>48</v>
      </c>
      <c r="C42" s="10" t="n">
        <f aca="false">BreakEven!C25</f>
        <v>134727.093009086</v>
      </c>
    </row>
    <row r="43" customFormat="false" ht="15" hidden="false" customHeight="false" outlineLevel="0" collapsed="false">
      <c r="A43" s="4" t="s">
        <v>49</v>
      </c>
      <c r="C43" s="10" t="n">
        <f aca="false">BreakEven!C30</f>
        <v>43859.649122807</v>
      </c>
    </row>
    <row r="44" customFormat="false" ht="15" hidden="false" customHeight="false" outlineLevel="0" collapsed="false">
      <c r="A44" s="4" t="s">
        <v>50</v>
      </c>
      <c r="C44" s="10" t="n">
        <f aca="false">BreakEven!C35</f>
        <v>396825.396825397</v>
      </c>
      <c r="E44" s="2" t="s">
        <v>51</v>
      </c>
    </row>
    <row r="45" customFormat="false" ht="15" hidden="false" customHeight="false" outlineLevel="0" collapsed="false">
      <c r="A45" s="4" t="s">
        <v>52</v>
      </c>
      <c r="C45" s="10" t="n">
        <f aca="false">BreakEven!C38</f>
        <v>166666.666666667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50"/>
    <col collapsed="false" customWidth="true" hidden="false" outlineLevel="0" max="3" min="3" style="0" width="13"/>
    <col collapsed="false" customWidth="true" hidden="false" outlineLevel="0" max="4" min="4" style="0" width="18"/>
    <col collapsed="false" customWidth="true" hidden="false" outlineLevel="0" max="5" min="5" style="0" width="10"/>
    <col collapsed="false" customWidth="true" hidden="false" outlineLevel="0" max="6" min="6" style="0" width="48"/>
    <col collapsed="false" customWidth="true" hidden="false" outlineLevel="0" max="7" min="7" style="0" width="11"/>
    <col collapsed="false" customWidth="true" hidden="false" outlineLevel="0" max="8" min="8" style="0" width="70"/>
  </cols>
  <sheetData>
    <row r="1" customFormat="false" ht="17.35" hidden="false" customHeight="false" outlineLevel="0" collapsed="false">
      <c r="A1" s="1" t="s">
        <v>53</v>
      </c>
    </row>
    <row r="2" customFormat="false" ht="15" hidden="false" customHeight="false" outlineLevel="0" collapsed="false">
      <c r="A2" s="2" t="s">
        <v>54</v>
      </c>
    </row>
    <row r="4" customFormat="false" ht="15" hidden="false" customHeight="false" outlineLevel="0" collapsed="false">
      <c r="A4" s="11" t="s">
        <v>55</v>
      </c>
      <c r="B4" s="11" t="s">
        <v>56</v>
      </c>
      <c r="C4" s="11" t="s">
        <v>57</v>
      </c>
      <c r="D4" s="11" t="s">
        <v>58</v>
      </c>
      <c r="E4" s="11" t="s">
        <v>59</v>
      </c>
      <c r="F4" s="11" t="s">
        <v>60</v>
      </c>
      <c r="G4" s="11" t="s">
        <v>61</v>
      </c>
      <c r="H4" s="11" t="s">
        <v>62</v>
      </c>
    </row>
    <row r="5" customFormat="false" ht="15" hidden="false" customHeight="false" outlineLevel="0" collapsed="false">
      <c r="A5" s="12" t="s">
        <v>63</v>
      </c>
      <c r="B5" s="13"/>
      <c r="C5" s="13"/>
      <c r="D5" s="13"/>
      <c r="E5" s="13"/>
      <c r="F5" s="13"/>
      <c r="G5" s="13"/>
      <c r="H5" s="13"/>
    </row>
    <row r="6" customFormat="false" ht="15" hidden="false" customHeight="false" outlineLevel="0" collapsed="false">
      <c r="A6" s="2" t="s">
        <v>64</v>
      </c>
      <c r="B6" s="4" t="s">
        <v>65</v>
      </c>
      <c r="C6" s="14" t="n">
        <v>1.3252</v>
      </c>
      <c r="D6" s="4" t="s">
        <v>66</v>
      </c>
      <c r="E6" s="4" t="s">
        <v>67</v>
      </c>
      <c r="F6" s="4" t="s">
        <v>68</v>
      </c>
      <c r="G6" s="4" t="s">
        <v>69</v>
      </c>
      <c r="H6" s="15" t="s">
        <v>70</v>
      </c>
    </row>
    <row r="7" customFormat="false" ht="15" hidden="false" customHeight="false" outlineLevel="0" collapsed="false">
      <c r="A7" s="2" t="s">
        <v>71</v>
      </c>
      <c r="B7" s="4" t="s">
        <v>72</v>
      </c>
      <c r="C7" s="16" t="n">
        <v>0.2</v>
      </c>
      <c r="D7" s="4" t="s">
        <v>73</v>
      </c>
      <c r="E7" s="4" t="s">
        <v>67</v>
      </c>
      <c r="F7" s="4" t="s">
        <v>74</v>
      </c>
      <c r="G7" s="4" t="s">
        <v>69</v>
      </c>
      <c r="H7" s="15"/>
    </row>
    <row r="8" customFormat="false" ht="15" hidden="false" customHeight="false" outlineLevel="0" collapsed="false">
      <c r="A8" s="2" t="s">
        <v>75</v>
      </c>
      <c r="B8" s="4" t="s">
        <v>76</v>
      </c>
      <c r="C8" s="17" t="n">
        <v>90000</v>
      </c>
      <c r="D8" s="4" t="s">
        <v>77</v>
      </c>
      <c r="E8" s="4" t="s">
        <v>67</v>
      </c>
      <c r="F8" s="4" t="s">
        <v>78</v>
      </c>
      <c r="G8" s="4" t="s">
        <v>69</v>
      </c>
      <c r="H8" s="15" t="s">
        <v>79</v>
      </c>
    </row>
    <row r="9" customFormat="false" ht="23.85" hidden="false" customHeight="false" outlineLevel="0" collapsed="false">
      <c r="A9" s="2" t="s">
        <v>80</v>
      </c>
      <c r="B9" s="4" t="s">
        <v>81</v>
      </c>
      <c r="C9" s="18" t="n">
        <v>0</v>
      </c>
      <c r="D9" s="4" t="s">
        <v>82</v>
      </c>
      <c r="E9" s="4" t="s">
        <v>83</v>
      </c>
      <c r="H9" s="15" t="s">
        <v>84</v>
      </c>
    </row>
    <row r="10" customFormat="false" ht="15" hidden="false" customHeight="false" outlineLevel="0" collapsed="false">
      <c r="A10" s="2" t="s">
        <v>85</v>
      </c>
      <c r="B10" s="4" t="s">
        <v>86</v>
      </c>
      <c r="C10" s="19" t="n">
        <v>25</v>
      </c>
      <c r="D10" s="4" t="s">
        <v>87</v>
      </c>
      <c r="E10" s="4" t="s">
        <v>88</v>
      </c>
      <c r="H10" s="15" t="s">
        <v>89</v>
      </c>
    </row>
    <row r="11" customFormat="false" ht="15" hidden="false" customHeight="false" outlineLevel="0" collapsed="false">
      <c r="A11" s="2" t="s">
        <v>90</v>
      </c>
      <c r="B11" s="4" t="s">
        <v>91</v>
      </c>
      <c r="C11" s="17" t="n">
        <v>52</v>
      </c>
      <c r="D11" s="4" t="s">
        <v>92</v>
      </c>
      <c r="E11" s="4" t="s">
        <v>93</v>
      </c>
      <c r="F11" s="4" t="s">
        <v>94</v>
      </c>
      <c r="G11" s="4" t="s">
        <v>69</v>
      </c>
      <c r="H11" s="15" t="s">
        <v>95</v>
      </c>
    </row>
    <row r="12" customFormat="false" ht="15" hidden="false" customHeight="false" outlineLevel="0" collapsed="false">
      <c r="A12" s="2" t="s">
        <v>96</v>
      </c>
      <c r="B12" s="4" t="s">
        <v>97</v>
      </c>
      <c r="C12" s="17" t="n">
        <v>12</v>
      </c>
      <c r="D12" s="4" t="s">
        <v>92</v>
      </c>
      <c r="E12" s="4" t="s">
        <v>88</v>
      </c>
      <c r="H12" s="15"/>
    </row>
    <row r="13" customFormat="false" ht="15" hidden="false" customHeight="false" outlineLevel="0" collapsed="false">
      <c r="A13" s="12" t="s">
        <v>98</v>
      </c>
      <c r="B13" s="13"/>
      <c r="C13" s="13"/>
      <c r="D13" s="13"/>
      <c r="E13" s="13"/>
      <c r="F13" s="13"/>
      <c r="G13" s="13"/>
      <c r="H13" s="13"/>
    </row>
    <row r="14" customFormat="false" ht="15" hidden="false" customHeight="false" outlineLevel="0" collapsed="false">
      <c r="A14" s="2" t="s">
        <v>99</v>
      </c>
      <c r="B14" s="4" t="s">
        <v>100</v>
      </c>
      <c r="C14" s="16" t="n">
        <v>0.015</v>
      </c>
      <c r="D14" s="4" t="s">
        <v>101</v>
      </c>
      <c r="E14" s="4" t="s">
        <v>67</v>
      </c>
      <c r="F14" s="4" t="s">
        <v>102</v>
      </c>
      <c r="G14" s="4" t="s">
        <v>69</v>
      </c>
      <c r="H14" s="15" t="s">
        <v>103</v>
      </c>
    </row>
    <row r="15" customFormat="false" ht="15" hidden="false" customHeight="false" outlineLevel="0" collapsed="false">
      <c r="A15" s="2" t="s">
        <v>104</v>
      </c>
      <c r="B15" s="4" t="s">
        <v>105</v>
      </c>
      <c r="C15" s="19" t="n">
        <v>0.2</v>
      </c>
      <c r="D15" s="4" t="s">
        <v>106</v>
      </c>
      <c r="E15" s="4" t="s">
        <v>67</v>
      </c>
      <c r="F15" s="4" t="s">
        <v>102</v>
      </c>
      <c r="G15" s="4" t="s">
        <v>69</v>
      </c>
      <c r="H15" s="15"/>
    </row>
    <row r="16" customFormat="false" ht="15" hidden="false" customHeight="false" outlineLevel="0" collapsed="false">
      <c r="A16" s="2" t="s">
        <v>107</v>
      </c>
      <c r="B16" s="4" t="s">
        <v>108</v>
      </c>
      <c r="C16" s="16" t="n">
        <v>0.15</v>
      </c>
      <c r="D16" s="4" t="s">
        <v>73</v>
      </c>
      <c r="E16" s="4" t="s">
        <v>67</v>
      </c>
      <c r="F16" s="4" t="s">
        <v>109</v>
      </c>
      <c r="G16" s="4" t="s">
        <v>69</v>
      </c>
      <c r="H16" s="15" t="s">
        <v>110</v>
      </c>
    </row>
    <row r="17" customFormat="false" ht="23.85" hidden="false" customHeight="false" outlineLevel="0" collapsed="false">
      <c r="A17" s="2" t="s">
        <v>111</v>
      </c>
      <c r="B17" s="4" t="s">
        <v>112</v>
      </c>
      <c r="C17" s="20" t="n">
        <v>0.013</v>
      </c>
      <c r="D17" s="4" t="s">
        <v>113</v>
      </c>
      <c r="E17" s="4" t="s">
        <v>67</v>
      </c>
      <c r="F17" s="4" t="s">
        <v>114</v>
      </c>
      <c r="G17" s="4" t="s">
        <v>69</v>
      </c>
      <c r="H17" s="15" t="s">
        <v>115</v>
      </c>
    </row>
    <row r="18" customFormat="false" ht="15" hidden="false" customHeight="false" outlineLevel="0" collapsed="false">
      <c r="A18" s="2" t="s">
        <v>116</v>
      </c>
      <c r="B18" s="4" t="s">
        <v>117</v>
      </c>
      <c r="C18" s="20" t="n">
        <v>0.0199</v>
      </c>
      <c r="D18" s="4" t="s">
        <v>113</v>
      </c>
      <c r="E18" s="4" t="s">
        <v>67</v>
      </c>
      <c r="F18" s="4" t="s">
        <v>118</v>
      </c>
      <c r="G18" s="4" t="s">
        <v>69</v>
      </c>
      <c r="H18" s="15" t="s">
        <v>119</v>
      </c>
    </row>
    <row r="19" customFormat="false" ht="15" hidden="false" customHeight="false" outlineLevel="0" collapsed="false">
      <c r="A19" s="2" t="s">
        <v>120</v>
      </c>
      <c r="B19" s="4" t="s">
        <v>121</v>
      </c>
      <c r="C19" s="16" t="n">
        <v>0.05</v>
      </c>
      <c r="D19" s="4" t="s">
        <v>73</v>
      </c>
      <c r="E19" s="4" t="s">
        <v>93</v>
      </c>
      <c r="F19" s="4" t="s">
        <v>122</v>
      </c>
      <c r="G19" s="4" t="s">
        <v>69</v>
      </c>
      <c r="H19" s="15" t="s">
        <v>123</v>
      </c>
    </row>
    <row r="20" customFormat="false" ht="15" hidden="false" customHeight="false" outlineLevel="0" collapsed="false">
      <c r="A20" s="12" t="s">
        <v>124</v>
      </c>
      <c r="B20" s="13"/>
      <c r="C20" s="13"/>
      <c r="D20" s="13"/>
      <c r="E20" s="13"/>
      <c r="F20" s="13"/>
      <c r="G20" s="13"/>
      <c r="H20" s="13"/>
    </row>
    <row r="21" customFormat="false" ht="15" hidden="false" customHeight="false" outlineLevel="0" collapsed="false">
      <c r="A21" s="2" t="s">
        <v>125</v>
      </c>
      <c r="B21" s="4" t="s">
        <v>126</v>
      </c>
      <c r="C21" s="21" t="n">
        <v>0</v>
      </c>
      <c r="D21" s="4" t="s">
        <v>127</v>
      </c>
      <c r="E21" s="4" t="s">
        <v>67</v>
      </c>
      <c r="F21" s="4" t="s">
        <v>128</v>
      </c>
      <c r="G21" s="4" t="s">
        <v>69</v>
      </c>
      <c r="H21" s="15" t="s">
        <v>129</v>
      </c>
    </row>
    <row r="22" customFormat="false" ht="15" hidden="false" customHeight="false" outlineLevel="0" collapsed="false">
      <c r="A22" s="2" t="s">
        <v>130</v>
      </c>
      <c r="B22" s="4" t="s">
        <v>131</v>
      </c>
      <c r="C22" s="21" t="n">
        <v>0.022</v>
      </c>
      <c r="D22" s="4" t="s">
        <v>127</v>
      </c>
      <c r="E22" s="4" t="s">
        <v>93</v>
      </c>
      <c r="F22" s="4" t="s">
        <v>132</v>
      </c>
      <c r="G22" s="4" t="s">
        <v>69</v>
      </c>
      <c r="H22" s="15" t="s">
        <v>133</v>
      </c>
    </row>
    <row r="23" customFormat="false" ht="15" hidden="false" customHeight="false" outlineLevel="0" collapsed="false">
      <c r="A23" s="2" t="s">
        <v>134</v>
      </c>
      <c r="B23" s="4" t="s">
        <v>135</v>
      </c>
      <c r="C23" s="22" t="n">
        <v>0.0382</v>
      </c>
      <c r="D23" s="4" t="s">
        <v>136</v>
      </c>
      <c r="E23" s="4" t="s">
        <v>93</v>
      </c>
      <c r="F23" s="4" t="s">
        <v>132</v>
      </c>
      <c r="G23" s="4" t="s">
        <v>69</v>
      </c>
      <c r="H23" s="15" t="s">
        <v>137</v>
      </c>
    </row>
    <row r="24" customFormat="false" ht="15" hidden="false" customHeight="false" outlineLevel="0" collapsed="false">
      <c r="A24" s="2" t="s">
        <v>138</v>
      </c>
      <c r="B24" s="4" t="s">
        <v>139</v>
      </c>
      <c r="C24" s="16" t="n">
        <v>0.3</v>
      </c>
      <c r="D24" s="4" t="s">
        <v>73</v>
      </c>
      <c r="E24" s="4" t="s">
        <v>88</v>
      </c>
      <c r="H24" s="15" t="s">
        <v>140</v>
      </c>
    </row>
    <row r="25" customFormat="false" ht="15" hidden="false" customHeight="false" outlineLevel="0" collapsed="false">
      <c r="A25" s="12" t="s">
        <v>141</v>
      </c>
      <c r="B25" s="13"/>
      <c r="C25" s="13"/>
      <c r="D25" s="13"/>
      <c r="E25" s="13"/>
      <c r="F25" s="13"/>
      <c r="G25" s="13"/>
      <c r="H25" s="13"/>
    </row>
    <row r="26" customFormat="false" ht="15" hidden="false" customHeight="false" outlineLevel="0" collapsed="false">
      <c r="A26" s="2" t="s">
        <v>142</v>
      </c>
      <c r="B26" s="4" t="s">
        <v>143</v>
      </c>
      <c r="C26" s="23" t="n">
        <v>7</v>
      </c>
      <c r="D26" s="4" t="s">
        <v>144</v>
      </c>
      <c r="E26" s="4" t="s">
        <v>67</v>
      </c>
      <c r="F26" s="4" t="s">
        <v>145</v>
      </c>
      <c r="G26" s="4" t="s">
        <v>69</v>
      </c>
      <c r="H26" s="15"/>
    </row>
    <row r="27" customFormat="false" ht="15" hidden="false" customHeight="false" outlineLevel="0" collapsed="false">
      <c r="A27" s="2" t="s">
        <v>146</v>
      </c>
      <c r="B27" s="4" t="s">
        <v>147</v>
      </c>
      <c r="C27" s="23" t="n">
        <v>25</v>
      </c>
      <c r="D27" s="4" t="s">
        <v>144</v>
      </c>
      <c r="E27" s="4" t="s">
        <v>67</v>
      </c>
      <c r="F27" s="4" t="s">
        <v>145</v>
      </c>
      <c r="G27" s="4" t="s">
        <v>69</v>
      </c>
      <c r="H27" s="15"/>
    </row>
    <row r="28" customFormat="false" ht="15" hidden="false" customHeight="false" outlineLevel="0" collapsed="false">
      <c r="A28" s="2" t="s">
        <v>148</v>
      </c>
      <c r="B28" s="4" t="s">
        <v>149</v>
      </c>
      <c r="C28" s="23" t="n">
        <v>6</v>
      </c>
      <c r="D28" s="4" t="s">
        <v>144</v>
      </c>
      <c r="E28" s="4" t="s">
        <v>67</v>
      </c>
      <c r="F28" s="4" t="s">
        <v>145</v>
      </c>
      <c r="G28" s="4" t="s">
        <v>69</v>
      </c>
      <c r="H28" s="15"/>
    </row>
    <row r="29" customFormat="false" ht="15" hidden="false" customHeight="false" outlineLevel="0" collapsed="false">
      <c r="A29" s="2" t="s">
        <v>150</v>
      </c>
      <c r="B29" s="4" t="s">
        <v>151</v>
      </c>
      <c r="C29" s="23" t="n">
        <v>19</v>
      </c>
      <c r="D29" s="4" t="s">
        <v>144</v>
      </c>
      <c r="E29" s="4" t="s">
        <v>67</v>
      </c>
      <c r="F29" s="4" t="s">
        <v>145</v>
      </c>
      <c r="G29" s="4" t="s">
        <v>69</v>
      </c>
      <c r="H29" s="15"/>
    </row>
    <row r="30" customFormat="false" ht="15" hidden="false" customHeight="false" outlineLevel="0" collapsed="false">
      <c r="A30" s="2" t="s">
        <v>152</v>
      </c>
      <c r="B30" s="4" t="s">
        <v>153</v>
      </c>
      <c r="C30" s="23" t="n">
        <v>0.3</v>
      </c>
      <c r="D30" s="4" t="s">
        <v>154</v>
      </c>
      <c r="E30" s="4" t="s">
        <v>67</v>
      </c>
      <c r="F30" s="4" t="s">
        <v>145</v>
      </c>
      <c r="G30" s="4" t="s">
        <v>69</v>
      </c>
      <c r="H30" s="15" t="s">
        <v>155</v>
      </c>
    </row>
    <row r="31" customFormat="false" ht="15" hidden="false" customHeight="false" outlineLevel="0" collapsed="false">
      <c r="A31" s="2" t="s">
        <v>156</v>
      </c>
      <c r="B31" s="4" t="s">
        <v>157</v>
      </c>
      <c r="C31" s="24" t="n">
        <v>2000</v>
      </c>
      <c r="D31" s="4" t="s">
        <v>158</v>
      </c>
      <c r="E31" s="4" t="s">
        <v>88</v>
      </c>
      <c r="H31" s="15" t="s">
        <v>159</v>
      </c>
    </row>
    <row r="32" customFormat="false" ht="15" hidden="false" customHeight="false" outlineLevel="0" collapsed="false">
      <c r="A32" s="2" t="s">
        <v>160</v>
      </c>
      <c r="B32" s="4" t="s">
        <v>161</v>
      </c>
      <c r="C32" s="24" t="n">
        <v>5</v>
      </c>
      <c r="D32" s="4" t="s">
        <v>162</v>
      </c>
      <c r="E32" s="4" t="s">
        <v>88</v>
      </c>
      <c r="H32" s="15" t="s">
        <v>163</v>
      </c>
    </row>
    <row r="33" customFormat="false" ht="15" hidden="false" customHeight="false" outlineLevel="0" collapsed="false">
      <c r="A33" s="2" t="s">
        <v>164</v>
      </c>
      <c r="B33" s="4" t="s">
        <v>165</v>
      </c>
      <c r="C33" s="19" t="n">
        <v>9</v>
      </c>
      <c r="D33" s="4" t="s">
        <v>166</v>
      </c>
      <c r="E33" s="4" t="s">
        <v>67</v>
      </c>
      <c r="F33" s="4" t="s">
        <v>167</v>
      </c>
      <c r="G33" s="4" t="s">
        <v>69</v>
      </c>
      <c r="H33" s="15" t="s">
        <v>168</v>
      </c>
    </row>
    <row r="34" customFormat="false" ht="15" hidden="false" customHeight="false" outlineLevel="0" collapsed="false">
      <c r="A34" s="2" t="s">
        <v>169</v>
      </c>
      <c r="B34" s="4" t="s">
        <v>170</v>
      </c>
      <c r="C34" s="24" t="n">
        <v>900</v>
      </c>
      <c r="D34" s="4" t="s">
        <v>171</v>
      </c>
      <c r="E34" s="4" t="s">
        <v>67</v>
      </c>
      <c r="F34" s="4" t="s">
        <v>167</v>
      </c>
      <c r="G34" s="4" t="s">
        <v>69</v>
      </c>
      <c r="H34" s="15"/>
    </row>
    <row r="35" customFormat="false" ht="15" hidden="false" customHeight="false" outlineLevel="0" collapsed="false">
      <c r="A35" s="2" t="s">
        <v>172</v>
      </c>
      <c r="B35" s="4" t="s">
        <v>173</v>
      </c>
      <c r="C35" s="24" t="n">
        <v>360</v>
      </c>
      <c r="D35" s="4" t="s">
        <v>171</v>
      </c>
      <c r="E35" s="4" t="s">
        <v>67</v>
      </c>
      <c r="F35" s="4" t="s">
        <v>167</v>
      </c>
      <c r="G35" s="4" t="s">
        <v>69</v>
      </c>
      <c r="H35" s="15"/>
    </row>
    <row r="36" customFormat="false" ht="15" hidden="false" customHeight="false" outlineLevel="0" collapsed="false">
      <c r="A36" s="2" t="s">
        <v>174</v>
      </c>
      <c r="B36" s="4" t="s">
        <v>175</v>
      </c>
      <c r="C36" s="23" t="n">
        <v>59</v>
      </c>
      <c r="D36" s="4" t="s">
        <v>144</v>
      </c>
      <c r="E36" s="4" t="s">
        <v>67</v>
      </c>
      <c r="F36" s="4" t="s">
        <v>176</v>
      </c>
      <c r="G36" s="4" t="s">
        <v>69</v>
      </c>
      <c r="H36" s="15" t="s">
        <v>177</v>
      </c>
    </row>
    <row r="37" customFormat="false" ht="15" hidden="false" customHeight="false" outlineLevel="0" collapsed="false">
      <c r="A37" s="2" t="s">
        <v>178</v>
      </c>
      <c r="B37" s="4" t="s">
        <v>179</v>
      </c>
      <c r="C37" s="24" t="n">
        <v>100</v>
      </c>
      <c r="D37" s="4" t="s">
        <v>180</v>
      </c>
      <c r="E37" s="4" t="s">
        <v>67</v>
      </c>
      <c r="F37" s="4" t="s">
        <v>176</v>
      </c>
      <c r="G37" s="4" t="s">
        <v>69</v>
      </c>
      <c r="H37" s="15" t="s">
        <v>181</v>
      </c>
    </row>
    <row r="38" customFormat="false" ht="15" hidden="false" customHeight="false" outlineLevel="0" collapsed="false">
      <c r="A38" s="2" t="s">
        <v>182</v>
      </c>
      <c r="B38" s="4" t="s">
        <v>183</v>
      </c>
      <c r="C38" s="23" t="n">
        <v>0.37</v>
      </c>
      <c r="D38" s="4" t="s">
        <v>184</v>
      </c>
      <c r="E38" s="4" t="s">
        <v>67</v>
      </c>
      <c r="F38" s="4" t="s">
        <v>176</v>
      </c>
      <c r="G38" s="4" t="s">
        <v>69</v>
      </c>
      <c r="H38" s="15" t="s">
        <v>185</v>
      </c>
    </row>
    <row r="39" customFormat="false" ht="15" hidden="false" customHeight="false" outlineLevel="0" collapsed="false">
      <c r="A39" s="2" t="s">
        <v>186</v>
      </c>
      <c r="B39" s="4" t="s">
        <v>187</v>
      </c>
      <c r="C39" s="21" t="n">
        <v>0.03</v>
      </c>
      <c r="D39" s="4" t="s">
        <v>188</v>
      </c>
      <c r="E39" s="4" t="s">
        <v>67</v>
      </c>
      <c r="F39" s="4" t="s">
        <v>189</v>
      </c>
      <c r="G39" s="4" t="s">
        <v>69</v>
      </c>
      <c r="H39" s="15"/>
    </row>
    <row r="40" customFormat="false" ht="15" hidden="false" customHeight="false" outlineLevel="0" collapsed="false">
      <c r="A40" s="12" t="s">
        <v>190</v>
      </c>
      <c r="B40" s="13"/>
      <c r="C40" s="13"/>
      <c r="D40" s="13"/>
      <c r="E40" s="13"/>
      <c r="F40" s="13"/>
      <c r="G40" s="13"/>
      <c r="H40" s="13"/>
    </row>
    <row r="41" customFormat="false" ht="15" hidden="false" customHeight="false" outlineLevel="0" collapsed="false">
      <c r="A41" s="2" t="s">
        <v>191</v>
      </c>
      <c r="B41" s="4" t="s">
        <v>192</v>
      </c>
      <c r="C41" s="25" t="n">
        <v>0.5</v>
      </c>
      <c r="D41" s="4" t="s">
        <v>73</v>
      </c>
      <c r="E41" s="4" t="s">
        <v>88</v>
      </c>
      <c r="H41" s="15" t="s">
        <v>193</v>
      </c>
    </row>
    <row r="42" customFormat="false" ht="15" hidden="false" customHeight="false" outlineLevel="0" collapsed="false">
      <c r="A42" s="2" t="s">
        <v>194</v>
      </c>
      <c r="B42" s="4" t="s">
        <v>195</v>
      </c>
      <c r="C42" s="26" t="n">
        <v>8</v>
      </c>
      <c r="D42" s="4" t="s">
        <v>196</v>
      </c>
      <c r="E42" s="4" t="s">
        <v>88</v>
      </c>
      <c r="H42" s="15" t="s">
        <v>197</v>
      </c>
    </row>
    <row r="43" customFormat="false" ht="15" hidden="false" customHeight="false" outlineLevel="0" collapsed="false">
      <c r="A43" s="2" t="s">
        <v>198</v>
      </c>
      <c r="B43" s="4" t="s">
        <v>199</v>
      </c>
      <c r="C43" s="26" t="n">
        <v>15</v>
      </c>
      <c r="D43" s="4" t="s">
        <v>196</v>
      </c>
      <c r="E43" s="4" t="s">
        <v>88</v>
      </c>
      <c r="H43" s="15" t="s">
        <v>200</v>
      </c>
    </row>
    <row r="44" customFormat="false" ht="15" hidden="false" customHeight="false" outlineLevel="0" collapsed="false">
      <c r="A44" s="2" t="s">
        <v>201</v>
      </c>
      <c r="B44" s="4" t="s">
        <v>202</v>
      </c>
      <c r="C44" s="24" t="n">
        <v>3000</v>
      </c>
      <c r="D44" s="4" t="s">
        <v>203</v>
      </c>
      <c r="E44" s="4" t="s">
        <v>88</v>
      </c>
      <c r="H44" s="15" t="s">
        <v>204</v>
      </c>
    </row>
    <row r="45" customFormat="false" ht="15" hidden="false" customHeight="false" outlineLevel="0" collapsed="false">
      <c r="A45" s="2" t="s">
        <v>205</v>
      </c>
      <c r="B45" s="4" t="s">
        <v>206</v>
      </c>
      <c r="C45" s="24" t="n">
        <v>44000</v>
      </c>
      <c r="D45" s="4" t="s">
        <v>207</v>
      </c>
      <c r="E45" s="4" t="s">
        <v>88</v>
      </c>
      <c r="H45" s="15" t="s">
        <v>208</v>
      </c>
    </row>
    <row r="46" customFormat="false" ht="15" hidden="false" customHeight="false" outlineLevel="0" collapsed="false">
      <c r="A46" s="2" t="s">
        <v>209</v>
      </c>
      <c r="B46" s="4" t="s">
        <v>210</v>
      </c>
      <c r="C46" s="24" t="n">
        <v>3800</v>
      </c>
      <c r="D46" s="4" t="s">
        <v>207</v>
      </c>
      <c r="E46" s="4" t="s">
        <v>88</v>
      </c>
      <c r="H46" s="15" t="s">
        <v>211</v>
      </c>
    </row>
    <row r="47" customFormat="false" ht="15" hidden="false" customHeight="false" outlineLevel="0" collapsed="false">
      <c r="A47" s="2" t="s">
        <v>212</v>
      </c>
      <c r="B47" s="4" t="s">
        <v>213</v>
      </c>
      <c r="C47" s="22" t="n">
        <v>0</v>
      </c>
      <c r="D47" s="4" t="s">
        <v>214</v>
      </c>
      <c r="E47" s="4" t="s">
        <v>83</v>
      </c>
      <c r="H47" s="15" t="s">
        <v>215</v>
      </c>
    </row>
    <row r="48" customFormat="false" ht="15" hidden="false" customHeight="false" outlineLevel="0" collapsed="false">
      <c r="A48" s="2" t="s">
        <v>216</v>
      </c>
      <c r="B48" s="4" t="s">
        <v>217</v>
      </c>
      <c r="C48" s="25" t="n">
        <v>0.7</v>
      </c>
      <c r="D48" s="4" t="s">
        <v>73</v>
      </c>
      <c r="E48" s="4" t="s">
        <v>218</v>
      </c>
      <c r="F48" s="4" t="s">
        <v>219</v>
      </c>
      <c r="H48" s="15" t="s">
        <v>220</v>
      </c>
    </row>
    <row r="49" customFormat="false" ht="15" hidden="false" customHeight="false" outlineLevel="0" collapsed="false">
      <c r="A49" s="12" t="s">
        <v>221</v>
      </c>
      <c r="B49" s="13"/>
      <c r="C49" s="13"/>
      <c r="D49" s="13"/>
      <c r="E49" s="13"/>
      <c r="F49" s="13"/>
      <c r="G49" s="13"/>
      <c r="H49" s="13"/>
    </row>
    <row r="50" customFormat="false" ht="15" hidden="false" customHeight="false" outlineLevel="0" collapsed="false">
      <c r="A50" s="2" t="s">
        <v>222</v>
      </c>
      <c r="B50" s="4" t="s">
        <v>223</v>
      </c>
      <c r="C50" s="24" t="n">
        <v>15000</v>
      </c>
      <c r="D50" s="4" t="s">
        <v>207</v>
      </c>
      <c r="E50" s="4" t="s">
        <v>88</v>
      </c>
      <c r="H50" s="15" t="s">
        <v>224</v>
      </c>
    </row>
    <row r="51" customFormat="false" ht="15" hidden="false" customHeight="false" outlineLevel="0" collapsed="false">
      <c r="A51" s="2" t="s">
        <v>225</v>
      </c>
      <c r="B51" s="4" t="s">
        <v>226</v>
      </c>
      <c r="C51" s="24" t="n">
        <v>1500</v>
      </c>
      <c r="D51" s="4" t="s">
        <v>207</v>
      </c>
      <c r="E51" s="4" t="s">
        <v>88</v>
      </c>
      <c r="H51" s="15" t="s">
        <v>227</v>
      </c>
    </row>
    <row r="52" customFormat="false" ht="15" hidden="false" customHeight="false" outlineLevel="0" collapsed="false">
      <c r="A52" s="2" t="s">
        <v>228</v>
      </c>
      <c r="B52" s="4" t="s">
        <v>229</v>
      </c>
      <c r="C52" s="24" t="n">
        <v>4</v>
      </c>
      <c r="D52" s="4" t="s">
        <v>230</v>
      </c>
      <c r="E52" s="4" t="s">
        <v>88</v>
      </c>
      <c r="H52" s="15" t="s">
        <v>231</v>
      </c>
    </row>
    <row r="53" customFormat="false" ht="15" hidden="false" customHeight="false" outlineLevel="0" collapsed="false">
      <c r="A53" s="2" t="s">
        <v>232</v>
      </c>
      <c r="B53" s="4" t="s">
        <v>233</v>
      </c>
      <c r="C53" s="22" t="n">
        <v>0</v>
      </c>
      <c r="D53" s="4" t="s">
        <v>214</v>
      </c>
      <c r="E53" s="4" t="s">
        <v>83</v>
      </c>
      <c r="H53" s="15" t="s">
        <v>234</v>
      </c>
    </row>
    <row r="54" customFormat="false" ht="15" hidden="false" customHeight="false" outlineLevel="0" collapsed="false">
      <c r="A54" s="2" t="s">
        <v>235</v>
      </c>
      <c r="B54" s="4" t="s">
        <v>236</v>
      </c>
      <c r="C54" s="24" t="n">
        <v>12</v>
      </c>
      <c r="D54" s="4" t="s">
        <v>237</v>
      </c>
      <c r="E54" s="4" t="s">
        <v>88</v>
      </c>
      <c r="H54" s="15" t="s">
        <v>238</v>
      </c>
    </row>
    <row r="55" customFormat="false" ht="15" hidden="false" customHeight="false" outlineLevel="0" collapsed="false">
      <c r="A55" s="2" t="s">
        <v>239</v>
      </c>
      <c r="B55" s="4" t="s">
        <v>240</v>
      </c>
      <c r="C55" s="26" t="n">
        <v>1.5</v>
      </c>
      <c r="D55" s="4" t="s">
        <v>241</v>
      </c>
      <c r="E55" s="4" t="s">
        <v>88</v>
      </c>
      <c r="H55" s="15" t="s">
        <v>242</v>
      </c>
    </row>
    <row r="56" customFormat="false" ht="15" hidden="false" customHeight="false" outlineLevel="0" collapsed="false">
      <c r="A56" s="2" t="s">
        <v>243</v>
      </c>
      <c r="B56" s="4" t="s">
        <v>244</v>
      </c>
      <c r="C56" s="27" t="n">
        <v>0.5</v>
      </c>
      <c r="D56" s="4" t="s">
        <v>241</v>
      </c>
      <c r="E56" s="4" t="s">
        <v>88</v>
      </c>
      <c r="H56" s="15" t="s">
        <v>245</v>
      </c>
    </row>
    <row r="57" customFormat="false" ht="15" hidden="false" customHeight="false" outlineLevel="0" collapsed="false">
      <c r="A57" s="2" t="s">
        <v>246</v>
      </c>
      <c r="B57" s="4" t="s">
        <v>247</v>
      </c>
      <c r="C57" s="24" t="n">
        <v>2</v>
      </c>
      <c r="D57" s="4" t="s">
        <v>237</v>
      </c>
      <c r="E57" s="4" t="s">
        <v>88</v>
      </c>
      <c r="H57" s="15" t="s">
        <v>248</v>
      </c>
    </row>
    <row r="58" customFormat="false" ht="15" hidden="false" customHeight="false" outlineLevel="0" collapsed="false">
      <c r="A58" s="2" t="s">
        <v>249</v>
      </c>
      <c r="B58" s="4" t="s">
        <v>250</v>
      </c>
      <c r="C58" s="26" t="n">
        <v>3</v>
      </c>
      <c r="D58" s="4" t="s">
        <v>180</v>
      </c>
      <c r="E58" s="4" t="s">
        <v>88</v>
      </c>
      <c r="H58" s="15" t="s">
        <v>251</v>
      </c>
    </row>
    <row r="59" customFormat="false" ht="15" hidden="false" customHeight="false" outlineLevel="0" collapsed="false">
      <c r="A59" s="12" t="s">
        <v>47</v>
      </c>
      <c r="B59" s="13"/>
      <c r="C59" s="13"/>
      <c r="D59" s="13"/>
      <c r="E59" s="13"/>
      <c r="F59" s="13"/>
      <c r="G59" s="13"/>
      <c r="H59" s="13"/>
    </row>
    <row r="60" customFormat="false" ht="15" hidden="false" customHeight="false" outlineLevel="0" collapsed="false">
      <c r="A60" s="2" t="s">
        <v>252</v>
      </c>
      <c r="B60" s="4" t="s">
        <v>253</v>
      </c>
      <c r="C60" s="28" t="n">
        <v>4.99</v>
      </c>
      <c r="D60" s="4" t="s">
        <v>166</v>
      </c>
      <c r="E60" s="4" t="s">
        <v>88</v>
      </c>
      <c r="H60" s="15" t="s">
        <v>254</v>
      </c>
    </row>
    <row r="61" customFormat="false" ht="15" hidden="false" customHeight="false" outlineLevel="0" collapsed="false">
      <c r="A61" s="2" t="s">
        <v>255</v>
      </c>
      <c r="B61" s="4" t="s">
        <v>256</v>
      </c>
      <c r="C61" s="28" t="n">
        <v>29.99</v>
      </c>
      <c r="D61" s="4" t="s">
        <v>92</v>
      </c>
      <c r="E61" s="4" t="s">
        <v>88</v>
      </c>
      <c r="H61" s="15" t="s">
        <v>257</v>
      </c>
    </row>
    <row r="62" customFormat="false" ht="15" hidden="false" customHeight="false" outlineLevel="0" collapsed="false">
      <c r="A62" s="2" t="s">
        <v>258</v>
      </c>
      <c r="B62" s="4" t="s">
        <v>259</v>
      </c>
      <c r="C62" s="16" t="n">
        <v>0.66</v>
      </c>
      <c r="D62" s="4" t="s">
        <v>73</v>
      </c>
      <c r="E62" s="4" t="s">
        <v>67</v>
      </c>
      <c r="F62" s="4" t="s">
        <v>260</v>
      </c>
      <c r="G62" s="4" t="s">
        <v>69</v>
      </c>
      <c r="H62" s="15" t="s">
        <v>261</v>
      </c>
    </row>
    <row r="63" customFormat="false" ht="15" hidden="false" customHeight="false" outlineLevel="0" collapsed="false">
      <c r="A63" s="2" t="s">
        <v>262</v>
      </c>
      <c r="B63" s="4" t="s">
        <v>263</v>
      </c>
      <c r="C63" s="25" t="n">
        <v>0.021</v>
      </c>
      <c r="D63" s="4" t="s">
        <v>73</v>
      </c>
      <c r="E63" s="4" t="s">
        <v>67</v>
      </c>
      <c r="F63" s="4" t="s">
        <v>260</v>
      </c>
      <c r="G63" s="4" t="s">
        <v>69</v>
      </c>
      <c r="H63" s="15" t="s">
        <v>264</v>
      </c>
    </row>
    <row r="64" customFormat="false" ht="15" hidden="false" customHeight="false" outlineLevel="0" collapsed="false">
      <c r="A64" s="2" t="s">
        <v>265</v>
      </c>
      <c r="B64" s="4" t="s">
        <v>266</v>
      </c>
      <c r="C64" s="16" t="n">
        <v>0.107</v>
      </c>
      <c r="D64" s="4" t="s">
        <v>73</v>
      </c>
      <c r="E64" s="4" t="s">
        <v>67</v>
      </c>
      <c r="F64" s="4" t="s">
        <v>260</v>
      </c>
      <c r="G64" s="4" t="s">
        <v>69</v>
      </c>
      <c r="H64" s="15" t="s">
        <v>267</v>
      </c>
    </row>
    <row r="65" customFormat="false" ht="15" hidden="false" customHeight="false" outlineLevel="0" collapsed="false">
      <c r="A65" s="2" t="s">
        <v>268</v>
      </c>
      <c r="B65" s="4" t="s">
        <v>269</v>
      </c>
      <c r="C65" s="25" t="n">
        <v>0.1</v>
      </c>
      <c r="D65" s="4" t="s">
        <v>73</v>
      </c>
      <c r="E65" s="4" t="s">
        <v>67</v>
      </c>
      <c r="F65" s="4" t="s">
        <v>260</v>
      </c>
      <c r="G65" s="4" t="s">
        <v>69</v>
      </c>
      <c r="H65" s="15" t="s">
        <v>270</v>
      </c>
    </row>
    <row r="66" customFormat="false" ht="15" hidden="false" customHeight="false" outlineLevel="0" collapsed="false">
      <c r="A66" s="2" t="s">
        <v>271</v>
      </c>
      <c r="B66" s="4" t="s">
        <v>272</v>
      </c>
      <c r="C66" s="16" t="n">
        <v>0.39</v>
      </c>
      <c r="D66" s="4" t="s">
        <v>73</v>
      </c>
      <c r="E66" s="4" t="s">
        <v>67</v>
      </c>
      <c r="F66" s="4" t="s">
        <v>260</v>
      </c>
      <c r="G66" s="4" t="s">
        <v>69</v>
      </c>
      <c r="H66" s="15" t="s">
        <v>273</v>
      </c>
    </row>
    <row r="67" customFormat="false" ht="15" hidden="false" customHeight="false" outlineLevel="0" collapsed="false">
      <c r="A67" s="2" t="s">
        <v>274</v>
      </c>
      <c r="B67" s="4" t="s">
        <v>275</v>
      </c>
      <c r="C67" s="24" t="n">
        <v>1</v>
      </c>
      <c r="D67" s="4" t="s">
        <v>276</v>
      </c>
      <c r="E67" s="4" t="s">
        <v>83</v>
      </c>
      <c r="H67" s="15" t="s">
        <v>277</v>
      </c>
    </row>
    <row r="68" customFormat="false" ht="15" hidden="false" customHeight="false" outlineLevel="0" collapsed="false">
      <c r="A68" s="12" t="s">
        <v>278</v>
      </c>
      <c r="B68" s="13"/>
      <c r="C68" s="13"/>
      <c r="D68" s="13"/>
      <c r="E68" s="13"/>
      <c r="F68" s="13"/>
      <c r="G68" s="13"/>
      <c r="H68" s="13"/>
    </row>
    <row r="69" customFormat="false" ht="15" hidden="false" customHeight="false" outlineLevel="0" collapsed="false">
      <c r="A69" s="2" t="s">
        <v>279</v>
      </c>
      <c r="B69" s="4" t="s">
        <v>280</v>
      </c>
      <c r="C69" s="28" t="n">
        <v>2.99</v>
      </c>
      <c r="D69" s="4" t="s">
        <v>281</v>
      </c>
      <c r="E69" s="4" t="s">
        <v>88</v>
      </c>
      <c r="H69" s="15" t="s">
        <v>282</v>
      </c>
    </row>
    <row r="70" customFormat="false" ht="15" hidden="false" customHeight="false" outlineLevel="0" collapsed="false">
      <c r="A70" s="2" t="s">
        <v>283</v>
      </c>
      <c r="B70" s="4" t="s">
        <v>284</v>
      </c>
      <c r="C70" s="25" t="n">
        <v>0.05</v>
      </c>
      <c r="D70" s="4" t="s">
        <v>73</v>
      </c>
      <c r="E70" s="4" t="s">
        <v>88</v>
      </c>
      <c r="H70" s="15" t="s">
        <v>285</v>
      </c>
    </row>
    <row r="71" customFormat="false" ht="15" hidden="false" customHeight="false" outlineLevel="0" collapsed="false">
      <c r="A71" s="2" t="s">
        <v>286</v>
      </c>
      <c r="B71" s="4" t="s">
        <v>287</v>
      </c>
      <c r="C71" s="27" t="n">
        <v>4</v>
      </c>
      <c r="D71" s="4" t="s">
        <v>288</v>
      </c>
      <c r="E71" s="4" t="s">
        <v>88</v>
      </c>
      <c r="H71" s="15" t="s">
        <v>289</v>
      </c>
    </row>
    <row r="72" customFormat="false" ht="15" hidden="false" customHeight="false" outlineLevel="0" collapsed="false">
      <c r="A72" s="12" t="s">
        <v>290</v>
      </c>
      <c r="B72" s="13"/>
      <c r="C72" s="13"/>
      <c r="D72" s="13"/>
      <c r="E72" s="13"/>
      <c r="F72" s="13"/>
      <c r="G72" s="13"/>
      <c r="H72" s="13"/>
    </row>
    <row r="73" customFormat="false" ht="15" hidden="false" customHeight="false" outlineLevel="0" collapsed="false">
      <c r="A73" s="2" t="s">
        <v>291</v>
      </c>
      <c r="B73" s="4" t="s">
        <v>292</v>
      </c>
      <c r="C73" s="18" t="n">
        <v>5</v>
      </c>
      <c r="D73" s="4" t="s">
        <v>293</v>
      </c>
      <c r="E73" s="4" t="s">
        <v>88</v>
      </c>
      <c r="H73" s="15" t="s">
        <v>294</v>
      </c>
    </row>
    <row r="74" customFormat="false" ht="15" hidden="false" customHeight="false" outlineLevel="0" collapsed="false">
      <c r="A74" s="2" t="s">
        <v>295</v>
      </c>
      <c r="B74" s="4" t="s">
        <v>296</v>
      </c>
      <c r="C74" s="28" t="n">
        <v>40</v>
      </c>
      <c r="D74" s="4" t="s">
        <v>214</v>
      </c>
      <c r="E74" s="4" t="s">
        <v>88</v>
      </c>
      <c r="H74" s="15" t="s">
        <v>297</v>
      </c>
    </row>
    <row r="75" customFormat="false" ht="15" hidden="false" customHeight="false" outlineLevel="0" collapsed="false">
      <c r="A75" s="2" t="s">
        <v>298</v>
      </c>
      <c r="B75" s="4" t="s">
        <v>299</v>
      </c>
      <c r="C75" s="25" t="n">
        <v>0.1</v>
      </c>
      <c r="D75" s="4" t="s">
        <v>73</v>
      </c>
      <c r="E75" s="4" t="s">
        <v>88</v>
      </c>
      <c r="H75" s="15" t="s">
        <v>300</v>
      </c>
    </row>
    <row r="76" customFormat="false" ht="15" hidden="false" customHeight="false" outlineLevel="0" collapsed="false">
      <c r="A76" s="2" t="s">
        <v>301</v>
      </c>
      <c r="B76" s="4" t="s">
        <v>302</v>
      </c>
      <c r="C76" s="16" t="n">
        <v>0.05</v>
      </c>
      <c r="D76" s="4" t="s">
        <v>73</v>
      </c>
      <c r="E76" s="4" t="s">
        <v>88</v>
      </c>
      <c r="H76" s="15" t="s">
        <v>303</v>
      </c>
    </row>
    <row r="77" customFormat="false" ht="15" hidden="false" customHeight="false" outlineLevel="0" collapsed="false">
      <c r="A77" s="2" t="s">
        <v>304</v>
      </c>
      <c r="B77" s="4" t="s">
        <v>305</v>
      </c>
      <c r="C77" s="27" t="n">
        <v>3</v>
      </c>
      <c r="D77" s="4" t="s">
        <v>306</v>
      </c>
      <c r="E77" s="4" t="s">
        <v>88</v>
      </c>
      <c r="H77" s="15"/>
    </row>
    <row r="78" customFormat="false" ht="15" hidden="false" customHeight="false" outlineLevel="0" collapsed="false">
      <c r="A78" s="2" t="s">
        <v>307</v>
      </c>
      <c r="B78" s="4" t="s">
        <v>308</v>
      </c>
      <c r="C78" s="16" t="n">
        <v>0.1</v>
      </c>
      <c r="D78" s="4" t="s">
        <v>73</v>
      </c>
      <c r="E78" s="4" t="s">
        <v>88</v>
      </c>
      <c r="H78" s="15" t="s">
        <v>309</v>
      </c>
    </row>
    <row r="79" customFormat="false" ht="15" hidden="false" customHeight="false" outlineLevel="0" collapsed="false">
      <c r="A79" s="2" t="s">
        <v>310</v>
      </c>
      <c r="B79" s="4" t="s">
        <v>311</v>
      </c>
      <c r="C79" s="24" t="n">
        <v>30</v>
      </c>
      <c r="D79" s="4" t="s">
        <v>196</v>
      </c>
      <c r="E79" s="4" t="s">
        <v>88</v>
      </c>
      <c r="H79" s="15" t="s">
        <v>312</v>
      </c>
    </row>
    <row r="80" customFormat="false" ht="15" hidden="false" customHeight="false" outlineLevel="0" collapsed="false">
      <c r="A80" s="12" t="s">
        <v>50</v>
      </c>
      <c r="B80" s="13"/>
      <c r="C80" s="13"/>
      <c r="D80" s="13"/>
      <c r="E80" s="13"/>
      <c r="F80" s="13"/>
      <c r="G80" s="13"/>
      <c r="H80" s="13"/>
    </row>
    <row r="81" customFormat="false" ht="15" hidden="false" customHeight="false" outlineLevel="0" collapsed="false">
      <c r="A81" s="2" t="s">
        <v>313</v>
      </c>
      <c r="B81" s="4" t="s">
        <v>314</v>
      </c>
      <c r="C81" s="16" t="n">
        <v>0.08</v>
      </c>
      <c r="D81" s="4" t="s">
        <v>73</v>
      </c>
      <c r="E81" s="4" t="s">
        <v>67</v>
      </c>
      <c r="F81" s="4" t="s">
        <v>315</v>
      </c>
      <c r="G81" s="4" t="s">
        <v>69</v>
      </c>
      <c r="H81" s="15" t="s">
        <v>316</v>
      </c>
    </row>
    <row r="82" customFormat="false" ht="15" hidden="false" customHeight="false" outlineLevel="0" collapsed="false">
      <c r="A82" s="2" t="s">
        <v>317</v>
      </c>
      <c r="B82" s="4" t="s">
        <v>318</v>
      </c>
      <c r="C82" s="25" t="n">
        <v>0.3</v>
      </c>
      <c r="D82" s="4" t="s">
        <v>73</v>
      </c>
      <c r="E82" s="4" t="s">
        <v>88</v>
      </c>
      <c r="H82" s="15" t="s">
        <v>319</v>
      </c>
    </row>
    <row r="83" customFormat="false" ht="15" hidden="false" customHeight="false" outlineLevel="0" collapsed="false">
      <c r="A83" s="2" t="s">
        <v>320</v>
      </c>
      <c r="B83" s="4" t="s">
        <v>321</v>
      </c>
      <c r="C83" s="25" t="n">
        <v>0.1</v>
      </c>
      <c r="D83" s="4" t="s">
        <v>73</v>
      </c>
      <c r="E83" s="4" t="s">
        <v>88</v>
      </c>
      <c r="H83" s="15"/>
    </row>
    <row r="84" customFormat="false" ht="15" hidden="false" customHeight="false" outlineLevel="0" collapsed="false">
      <c r="A84" s="2" t="s">
        <v>322</v>
      </c>
      <c r="B84" s="4" t="s">
        <v>323</v>
      </c>
      <c r="C84" s="19" t="n">
        <v>35</v>
      </c>
      <c r="D84" s="4" t="s">
        <v>214</v>
      </c>
      <c r="E84" s="4" t="s">
        <v>88</v>
      </c>
      <c r="H84" s="15"/>
    </row>
    <row r="85" customFormat="false" ht="15" hidden="false" customHeight="false" outlineLevel="0" collapsed="false">
      <c r="A85" s="12" t="s">
        <v>324</v>
      </c>
      <c r="B85" s="13"/>
      <c r="C85" s="13"/>
      <c r="D85" s="13"/>
      <c r="E85" s="13"/>
      <c r="F85" s="13"/>
      <c r="G85" s="13"/>
      <c r="H85" s="13"/>
    </row>
    <row r="86" customFormat="false" ht="15" hidden="false" customHeight="false" outlineLevel="0" collapsed="false">
      <c r="A86" s="2" t="s">
        <v>325</v>
      </c>
      <c r="B86" s="4" t="s">
        <v>326</v>
      </c>
      <c r="C86" s="28" t="n">
        <v>5</v>
      </c>
      <c r="D86" s="4" t="s">
        <v>214</v>
      </c>
      <c r="E86" s="4" t="s">
        <v>327</v>
      </c>
      <c r="F86" s="4" t="s">
        <v>328</v>
      </c>
      <c r="H86" s="15" t="s">
        <v>329</v>
      </c>
    </row>
    <row r="87" customFormat="false" ht="15" hidden="false" customHeight="false" outlineLevel="0" collapsed="false">
      <c r="A87" s="2" t="s">
        <v>330</v>
      </c>
      <c r="B87" s="4" t="s">
        <v>331</v>
      </c>
      <c r="C87" s="24" t="n">
        <v>20</v>
      </c>
      <c r="D87" s="4" t="s">
        <v>332</v>
      </c>
      <c r="E87" s="4" t="s">
        <v>327</v>
      </c>
      <c r="F87" s="4" t="s">
        <v>328</v>
      </c>
      <c r="H87" s="15" t="s">
        <v>333</v>
      </c>
    </row>
    <row r="88" customFormat="false" ht="15" hidden="false" customHeight="false" outlineLevel="0" collapsed="false">
      <c r="A88" s="2" t="s">
        <v>334</v>
      </c>
      <c r="B88" s="4" t="s">
        <v>335</v>
      </c>
      <c r="C88" s="16" t="n">
        <v>1</v>
      </c>
      <c r="D88" s="4" t="s">
        <v>73</v>
      </c>
      <c r="E88" s="4" t="s">
        <v>88</v>
      </c>
      <c r="H88" s="15" t="s">
        <v>336</v>
      </c>
    </row>
    <row r="89" customFormat="false" ht="15" hidden="false" customHeight="false" outlineLevel="0" collapsed="false">
      <c r="A89" s="2" t="s">
        <v>337</v>
      </c>
      <c r="B89" s="4" t="s">
        <v>338</v>
      </c>
      <c r="C89" s="16" t="n">
        <v>0.25</v>
      </c>
      <c r="D89" s="4" t="s">
        <v>73</v>
      </c>
      <c r="E89" s="4" t="s">
        <v>88</v>
      </c>
      <c r="H89" s="15"/>
    </row>
    <row r="90" customFormat="false" ht="15" hidden="false" customHeight="false" outlineLevel="0" collapsed="false">
      <c r="A90" s="12" t="s">
        <v>339</v>
      </c>
      <c r="B90" s="13"/>
      <c r="C90" s="13"/>
      <c r="D90" s="13"/>
      <c r="E90" s="13"/>
      <c r="F90" s="13"/>
      <c r="G90" s="13"/>
      <c r="H90" s="13"/>
    </row>
    <row r="91" customFormat="false" ht="15" hidden="false" customHeight="false" outlineLevel="0" collapsed="false">
      <c r="A91" s="2" t="s">
        <v>340</v>
      </c>
      <c r="B91" s="4" t="s">
        <v>341</v>
      </c>
      <c r="C91" s="26" t="n">
        <v>0.5</v>
      </c>
      <c r="D91" s="4" t="s">
        <v>342</v>
      </c>
      <c r="E91" s="4" t="s">
        <v>88</v>
      </c>
      <c r="H91" s="15" t="s">
        <v>343</v>
      </c>
    </row>
    <row r="92" customFormat="false" ht="15" hidden="false" customHeight="false" outlineLevel="0" collapsed="false">
      <c r="A92" s="2" t="s">
        <v>344</v>
      </c>
      <c r="B92" s="4" t="s">
        <v>345</v>
      </c>
      <c r="C92" s="26" t="n">
        <v>5</v>
      </c>
      <c r="D92" s="4" t="s">
        <v>346</v>
      </c>
      <c r="E92" s="4" t="s">
        <v>88</v>
      </c>
      <c r="H92" s="15" t="s">
        <v>347</v>
      </c>
    </row>
    <row r="93" customFormat="false" ht="15" hidden="false" customHeight="false" outlineLevel="0" collapsed="false">
      <c r="A93" s="2" t="s">
        <v>348</v>
      </c>
      <c r="B93" s="4" t="s">
        <v>349</v>
      </c>
      <c r="C93" s="19" t="n">
        <v>5</v>
      </c>
      <c r="D93" s="4" t="s">
        <v>214</v>
      </c>
      <c r="E93" s="4" t="s">
        <v>88</v>
      </c>
      <c r="H93" s="15"/>
    </row>
    <row r="94" customFormat="false" ht="15" hidden="false" customHeight="false" outlineLevel="0" collapsed="false">
      <c r="A94" s="2" t="s">
        <v>350</v>
      </c>
      <c r="B94" s="4" t="s">
        <v>351</v>
      </c>
      <c r="C94" s="27" t="n">
        <v>2</v>
      </c>
      <c r="D94" s="4" t="s">
        <v>352</v>
      </c>
      <c r="E94" s="4" t="s">
        <v>88</v>
      </c>
      <c r="H94" s="15"/>
    </row>
    <row r="95" customFormat="false" ht="15" hidden="false" customHeight="false" outlineLevel="0" collapsed="false">
      <c r="A95" s="2" t="s">
        <v>353</v>
      </c>
      <c r="B95" s="4" t="s">
        <v>354</v>
      </c>
      <c r="C95" s="28" t="n">
        <v>0.75</v>
      </c>
      <c r="D95" s="4" t="s">
        <v>214</v>
      </c>
      <c r="E95" s="4" t="s">
        <v>67</v>
      </c>
      <c r="F95" s="4" t="s">
        <v>355</v>
      </c>
      <c r="G95" s="4" t="s">
        <v>69</v>
      </c>
      <c r="H95" s="15" t="s">
        <v>356</v>
      </c>
    </row>
    <row r="96" customFormat="false" ht="15" hidden="false" customHeight="false" outlineLevel="0" collapsed="false">
      <c r="A96" s="2" t="s">
        <v>357</v>
      </c>
      <c r="B96" s="4" t="s">
        <v>358</v>
      </c>
      <c r="C96" s="23" t="n">
        <v>1</v>
      </c>
      <c r="D96" s="4" t="s">
        <v>359</v>
      </c>
      <c r="E96" s="4" t="s">
        <v>67</v>
      </c>
      <c r="F96" s="4" t="s">
        <v>360</v>
      </c>
      <c r="G96" s="4" t="s">
        <v>69</v>
      </c>
      <c r="H96" s="15" t="s">
        <v>361</v>
      </c>
    </row>
    <row r="97" customFormat="false" ht="15" hidden="false" customHeight="false" outlineLevel="0" collapsed="false">
      <c r="A97" s="2" t="s">
        <v>362</v>
      </c>
      <c r="B97" s="4" t="s">
        <v>363</v>
      </c>
      <c r="C97" s="25" t="n">
        <v>0.1</v>
      </c>
      <c r="D97" s="4" t="s">
        <v>73</v>
      </c>
      <c r="E97" s="4" t="s">
        <v>218</v>
      </c>
      <c r="F97" s="4" t="s">
        <v>219</v>
      </c>
      <c r="H97" s="15" t="s">
        <v>364</v>
      </c>
    </row>
    <row r="98" customFormat="false" ht="15" hidden="false" customHeight="false" outlineLevel="0" collapsed="false">
      <c r="A98" s="2" t="s">
        <v>365</v>
      </c>
      <c r="B98" s="4" t="s">
        <v>366</v>
      </c>
      <c r="C98" s="27" t="n">
        <v>3</v>
      </c>
      <c r="D98" s="4" t="s">
        <v>352</v>
      </c>
      <c r="E98" s="4" t="s">
        <v>88</v>
      </c>
      <c r="H98" s="15" t="s">
        <v>367</v>
      </c>
    </row>
    <row r="99" customFormat="false" ht="15" hidden="false" customHeight="false" outlineLevel="0" collapsed="false">
      <c r="A99" s="12" t="s">
        <v>368</v>
      </c>
      <c r="B99" s="13"/>
      <c r="C99" s="13"/>
      <c r="D99" s="13"/>
      <c r="E99" s="13"/>
      <c r="F99" s="13"/>
      <c r="G99" s="13"/>
      <c r="H99" s="13"/>
    </row>
    <row r="100" customFormat="false" ht="15" hidden="false" customHeight="false" outlineLevel="0" collapsed="false">
      <c r="A100" s="2" t="s">
        <v>369</v>
      </c>
      <c r="B100" s="4" t="s">
        <v>370</v>
      </c>
      <c r="C100" s="26" t="n">
        <v>5</v>
      </c>
      <c r="D100" s="4" t="s">
        <v>196</v>
      </c>
      <c r="E100" s="4" t="s">
        <v>88</v>
      </c>
      <c r="H100" s="15" t="s">
        <v>371</v>
      </c>
    </row>
    <row r="101" customFormat="false" ht="15" hidden="false" customHeight="false" outlineLevel="0" collapsed="false">
      <c r="A101" s="2" t="s">
        <v>372</v>
      </c>
      <c r="B101" s="4" t="s">
        <v>373</v>
      </c>
      <c r="C101" s="24" t="n">
        <v>20</v>
      </c>
      <c r="D101" s="4" t="s">
        <v>196</v>
      </c>
      <c r="E101" s="4" t="s">
        <v>88</v>
      </c>
      <c r="H101" s="15" t="s">
        <v>374</v>
      </c>
    </row>
    <row r="102" customFormat="false" ht="15" hidden="false" customHeight="false" outlineLevel="0" collapsed="false">
      <c r="A102" s="2" t="s">
        <v>375</v>
      </c>
      <c r="B102" s="4" t="s">
        <v>376</v>
      </c>
      <c r="C102" s="24" t="n">
        <v>10</v>
      </c>
      <c r="D102" s="4" t="s">
        <v>377</v>
      </c>
      <c r="E102" s="4" t="s">
        <v>88</v>
      </c>
      <c r="H102" s="15" t="s">
        <v>378</v>
      </c>
    </row>
    <row r="103" customFormat="false" ht="15" hidden="false" customHeight="false" outlineLevel="0" collapsed="false">
      <c r="A103" s="2" t="s">
        <v>379</v>
      </c>
      <c r="B103" s="4" t="s">
        <v>380</v>
      </c>
      <c r="C103" s="27" t="n">
        <v>7.5</v>
      </c>
      <c r="D103" s="4" t="s">
        <v>342</v>
      </c>
      <c r="E103" s="4" t="s">
        <v>327</v>
      </c>
      <c r="F103" s="4" t="s">
        <v>381</v>
      </c>
      <c r="H103" s="15"/>
    </row>
    <row r="105" customFormat="false" ht="15" hidden="false" customHeight="false" outlineLevel="0" collapsed="false">
      <c r="A105" s="2" t="s">
        <v>382</v>
      </c>
    </row>
  </sheetData>
  <hyperlinks>
    <hyperlink ref="F6" r:id="rId1" display="https://www.ecb.europa.eu/stats/eurofxref/eurofxref-daily.xml"/>
    <hyperlink ref="F7" r:id="rId2" display="https://www.gov.uk/vat-rates"/>
    <hyperlink ref="F8" r:id="rId3" display="https://www.gov.uk/vat-registration/when-to-register"/>
    <hyperlink ref="F11" r:id="rId4" display="https://ico.org.uk/for-organisations/data-protection-fee/data-protection-fee/"/>
    <hyperlink ref="F14" r:id="rId5" display="https://stripe.com/gb/pricing"/>
    <hyperlink ref="F15" r:id="rId6" display="https://stripe.com/gb/pricing"/>
    <hyperlink ref="F16" r:id="rId7" display="https://developer.apple.com/app-store/small-business-program/"/>
    <hyperlink ref="F17" r:id="rId8" display="https://telegram.org/tos/bot-developers"/>
    <hyperlink ref="F18" r:id="rId9" display="https://dev.to/starsearn/telegram-stars-economics-for-bot-developers-what-your-stars-are-actually-worth-in-2026-2742"/>
    <hyperlink ref="F19" r:id="rId10" display="https://adminhub.tools/blog/withdraw-telegram-stars/"/>
    <hyperlink ref="F21" r:id="rId11" display="https://core.telegram.org/bots/faq"/>
    <hyperlink ref="F22" r:id="rId12" display="https://payperwa.com/blog/whatsapp-business-api-pricing-uk-2026"/>
    <hyperlink ref="F23" r:id="rId13" display="https://payperwa.com/blog/whatsapp-business-api-pricing-uk-2026"/>
    <hyperlink ref="F26" r:id="rId14" display="https://render.com/pricing"/>
    <hyperlink ref="F27" r:id="rId15" display="https://render.com/pricing"/>
    <hyperlink ref="F28" r:id="rId16" display="https://render.com/pricing"/>
    <hyperlink ref="F29" r:id="rId17" display="https://render.com/pricing"/>
    <hyperlink ref="F30" r:id="rId18" display="https://render.com/pricing"/>
    <hyperlink ref="F33" r:id="rId19" display="https://datahub.metoffice.gov.uk/pricing/site-specific"/>
    <hyperlink ref="F34" r:id="rId20" display="https://datahub.metoffice.gov.uk/pricing/site-specific"/>
    <hyperlink ref="F35" r:id="rId21" display="https://datahub.metoffice.gov.uk/pricing/site-specific"/>
    <hyperlink ref="F36" r:id="rId22" display="https://www.tavus.io/pricing"/>
    <hyperlink ref="F37" r:id="rId23" display="https://www.tavus.io/pricing"/>
    <hyperlink ref="F38" r:id="rId24" display="https://www.tavus.io/pricing"/>
    <hyperlink ref="F39" r:id="rId25" display="https://deepgram.com/pricing"/>
    <hyperlink ref="F62" r:id="rId26" display="https://www.revenuecat.com/state-of-subscription-apps/"/>
    <hyperlink ref="F63" r:id="rId27" display="https://www.revenuecat.com/state-of-subscription-apps/"/>
    <hyperlink ref="F64" r:id="rId28" display="https://www.revenuecat.com/state-of-subscription-apps/"/>
    <hyperlink ref="F65" r:id="rId29" display="https://www.revenuecat.com/state-of-subscription-apps/"/>
    <hyperlink ref="F66" r:id="rId30" display="https://www.revenuecat.com/state-of-subscription-apps/"/>
    <hyperlink ref="F81" r:id="rId31" display="https://partnerresources.viator.com/"/>
    <hyperlink ref="F95" r:id="rId32" display="https://adlibrary.com/posts/meta-ads-average-cpc-cpm-uk-ecommerce"/>
    <hyperlink ref="F96" r:id="rId33" display="https://benly.ai/learn/reddit-ads/reddit-ads-cost-benchmark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5" min="3" style="0" width="14"/>
    <col collapsed="false" customWidth="true" hidden="false" outlineLevel="0" max="6" min="6" style="0" width="10"/>
    <col collapsed="false" customWidth="true" hidden="false" outlineLevel="0" max="7" min="7" style="0" width="50"/>
    <col collapsed="false" customWidth="true" hidden="false" outlineLevel="0" max="8" min="8" style="0" width="11"/>
  </cols>
  <sheetData>
    <row r="1" customFormat="false" ht="17.35" hidden="false" customHeight="false" outlineLevel="0" collapsed="false">
      <c r="A1" s="1" t="s">
        <v>383</v>
      </c>
    </row>
    <row r="3" customFormat="false" ht="15" hidden="false" customHeight="false" outlineLevel="0" collapsed="false">
      <c r="B3" s="3" t="s">
        <v>384</v>
      </c>
    </row>
    <row r="4" customFormat="false" ht="15" hidden="false" customHeight="false" outlineLevel="0" collapsed="false">
      <c r="B4" s="6" t="s">
        <v>385</v>
      </c>
      <c r="C4" s="6" t="s">
        <v>56</v>
      </c>
      <c r="D4" s="6" t="s">
        <v>386</v>
      </c>
      <c r="E4" s="6" t="s">
        <v>387</v>
      </c>
      <c r="F4" s="6" t="s">
        <v>59</v>
      </c>
      <c r="G4" s="6" t="s">
        <v>60</v>
      </c>
      <c r="H4" s="6" t="s">
        <v>61</v>
      </c>
    </row>
    <row r="5" customFormat="false" ht="15" hidden="false" customHeight="false" outlineLevel="0" collapsed="false">
      <c r="B5" s="29" t="s">
        <v>388</v>
      </c>
      <c r="C5" s="23" t="n">
        <v>1</v>
      </c>
      <c r="D5" s="23" t="n">
        <v>5</v>
      </c>
      <c r="E5" s="23" t="n">
        <v>0.1</v>
      </c>
      <c r="F5" s="4" t="s">
        <v>67</v>
      </c>
      <c r="G5" s="4" t="s">
        <v>389</v>
      </c>
      <c r="H5" s="4" t="s">
        <v>69</v>
      </c>
    </row>
    <row r="6" customFormat="false" ht="15" hidden="false" customHeight="false" outlineLevel="0" collapsed="false">
      <c r="B6" s="29" t="s">
        <v>390</v>
      </c>
      <c r="C6" s="23" t="n">
        <v>2</v>
      </c>
      <c r="D6" s="23" t="n">
        <v>10</v>
      </c>
      <c r="E6" s="23" t="n">
        <v>0.2</v>
      </c>
      <c r="F6" s="4" t="s">
        <v>67</v>
      </c>
      <c r="G6" s="4" t="s">
        <v>389</v>
      </c>
      <c r="H6" s="4" t="s">
        <v>69</v>
      </c>
    </row>
    <row r="7" customFormat="false" ht="15" hidden="false" customHeight="false" outlineLevel="0" collapsed="false">
      <c r="B7" s="29" t="s">
        <v>391</v>
      </c>
      <c r="C7" s="23" t="n">
        <v>5</v>
      </c>
      <c r="D7" s="23" t="n">
        <v>25</v>
      </c>
      <c r="E7" s="23" t="n">
        <v>0.5</v>
      </c>
      <c r="F7" s="4" t="s">
        <v>67</v>
      </c>
      <c r="G7" s="4" t="s">
        <v>389</v>
      </c>
      <c r="H7" s="4" t="s">
        <v>69</v>
      </c>
    </row>
    <row r="8" customFormat="false" ht="15" hidden="false" customHeight="false" outlineLevel="0" collapsed="false">
      <c r="B8" s="29" t="s">
        <v>392</v>
      </c>
      <c r="C8" s="23" t="n">
        <v>4</v>
      </c>
      <c r="D8" s="23" t="n">
        <v>20</v>
      </c>
      <c r="E8" s="23" t="n">
        <v>0.2</v>
      </c>
      <c r="F8" s="4" t="s">
        <v>67</v>
      </c>
      <c r="G8" s="4" t="s">
        <v>389</v>
      </c>
      <c r="H8" s="4" t="s">
        <v>69</v>
      </c>
    </row>
    <row r="10" customFormat="false" ht="15" hidden="false" customHeight="false" outlineLevel="0" collapsed="false">
      <c r="B10" s="2" t="s">
        <v>393</v>
      </c>
    </row>
    <row r="12" customFormat="false" ht="15" hidden="false" customHeight="false" outlineLevel="0" collapsed="false">
      <c r="B12" s="3" t="s">
        <v>394</v>
      </c>
    </row>
    <row r="13" customFormat="false" ht="15" hidden="false" customHeight="false" outlineLevel="0" collapsed="false">
      <c r="B13" s="6" t="s">
        <v>395</v>
      </c>
      <c r="C13" s="6" t="s">
        <v>396</v>
      </c>
      <c r="D13" s="6"/>
      <c r="E13" s="6"/>
      <c r="F13" s="6" t="s">
        <v>59</v>
      </c>
      <c r="G13" s="6" t="s">
        <v>60</v>
      </c>
      <c r="H13" s="6" t="s">
        <v>61</v>
      </c>
    </row>
    <row r="14" customFormat="false" ht="15" hidden="false" customHeight="false" outlineLevel="0" collapsed="false">
      <c r="B14" s="29" t="s">
        <v>397</v>
      </c>
      <c r="C14" s="21" t="n">
        <v>0.003</v>
      </c>
      <c r="F14" s="4" t="s">
        <v>67</v>
      </c>
      <c r="G14" s="4" t="s">
        <v>398</v>
      </c>
      <c r="H14" s="4" t="s">
        <v>69</v>
      </c>
    </row>
    <row r="15" customFormat="false" ht="15" hidden="false" customHeight="false" outlineLevel="0" collapsed="false">
      <c r="B15" s="29" t="s">
        <v>399</v>
      </c>
      <c r="C15" s="21" t="n">
        <v>0.0045</v>
      </c>
      <c r="F15" s="4" t="s">
        <v>67</v>
      </c>
      <c r="G15" s="4" t="s">
        <v>398</v>
      </c>
      <c r="H15" s="4" t="s">
        <v>69</v>
      </c>
    </row>
    <row r="16" customFormat="false" ht="15" hidden="false" customHeight="false" outlineLevel="0" collapsed="false">
      <c r="B16" s="29" t="s">
        <v>400</v>
      </c>
      <c r="C16" s="21" t="n">
        <v>0.006</v>
      </c>
      <c r="F16" s="4" t="s">
        <v>67</v>
      </c>
      <c r="G16" s="4" t="s">
        <v>398</v>
      </c>
      <c r="H16" s="4" t="s">
        <v>69</v>
      </c>
    </row>
    <row r="17" customFormat="false" ht="15" hidden="false" customHeight="false" outlineLevel="0" collapsed="false">
      <c r="B17" s="29" t="s">
        <v>401</v>
      </c>
      <c r="C17" s="21" t="n">
        <v>0.0043</v>
      </c>
      <c r="F17" s="4" t="s">
        <v>67</v>
      </c>
      <c r="G17" s="4" t="s">
        <v>189</v>
      </c>
      <c r="H17" s="4" t="s">
        <v>69</v>
      </c>
    </row>
    <row r="19" customFormat="false" ht="15" hidden="false" customHeight="false" outlineLevel="0" collapsed="false">
      <c r="B19" s="2" t="s">
        <v>402</v>
      </c>
    </row>
  </sheetData>
  <hyperlinks>
    <hyperlink ref="G5" r:id="rId1" display="https://platform.claude.com/docs/en/about-claude/pricing"/>
    <hyperlink ref="G6" r:id="rId2" display="https://platform.claude.com/docs/en/about-claude/pricing"/>
    <hyperlink ref="G7" r:id="rId3" display="https://platform.claude.com/docs/en/about-claude/pricing"/>
    <hyperlink ref="G8" r:id="rId4" display="https://platform.claude.com/docs/en/about-claude/pricing"/>
    <hyperlink ref="G14" r:id="rId5" display="https://developers.openai.com/api/docs/pricing"/>
    <hyperlink ref="G15" r:id="rId6" display="https://developers.openai.com/api/docs/pricing"/>
    <hyperlink ref="G16" r:id="rId7" display="https://developers.openai.com/api/docs/pricing"/>
    <hyperlink ref="G17" r:id="rId8" display="https://deepgram.com/pricing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5" min="2" style="0" width="16"/>
    <col collapsed="false" customWidth="true" hidden="false" outlineLevel="0" max="6" min="6" style="0" width="70"/>
  </cols>
  <sheetData>
    <row r="1" customFormat="false" ht="17.35" hidden="false" customHeight="false" outlineLevel="0" collapsed="false">
      <c r="A1" s="1" t="s">
        <v>403</v>
      </c>
    </row>
    <row r="2" customFormat="false" ht="15" hidden="false" customHeight="false" outlineLevel="0" collapsed="false">
      <c r="A2" s="2" t="s">
        <v>404</v>
      </c>
    </row>
    <row r="4" customFormat="false" ht="15" hidden="false" customHeight="false" outlineLevel="0" collapsed="false">
      <c r="A4" s="6" t="s">
        <v>27</v>
      </c>
      <c r="B4" s="6" t="s">
        <v>58</v>
      </c>
      <c r="C4" s="6" t="s">
        <v>28</v>
      </c>
      <c r="D4" s="6" t="s">
        <v>29</v>
      </c>
      <c r="E4" s="6" t="s">
        <v>30</v>
      </c>
      <c r="F4" s="6" t="s">
        <v>405</v>
      </c>
    </row>
    <row r="5" customFormat="false" ht="15" hidden="false" customHeight="false" outlineLevel="0" collapsed="false">
      <c r="A5" s="12" t="s">
        <v>406</v>
      </c>
      <c r="B5" s="13"/>
      <c r="C5" s="13"/>
      <c r="D5" s="13"/>
      <c r="E5" s="13"/>
      <c r="F5" s="13"/>
    </row>
    <row r="6" customFormat="false" ht="39.75" hidden="false" customHeight="true" outlineLevel="0" collapsed="false">
      <c r="A6" s="4" t="s">
        <v>407</v>
      </c>
      <c r="B6" s="4" t="s">
        <v>408</v>
      </c>
      <c r="C6" s="30" t="s">
        <v>409</v>
      </c>
      <c r="D6" s="30" t="s">
        <v>410</v>
      </c>
      <c r="E6" s="30" t="s">
        <v>411</v>
      </c>
      <c r="F6" s="15" t="s">
        <v>412</v>
      </c>
    </row>
    <row r="7" customFormat="false" ht="15" hidden="false" customHeight="false" outlineLevel="0" collapsed="false">
      <c r="A7" s="4" t="s">
        <v>413</v>
      </c>
      <c r="B7" s="4" t="s">
        <v>414</v>
      </c>
      <c r="C7" s="31" t="s">
        <v>388</v>
      </c>
      <c r="D7" s="31" t="s">
        <v>391</v>
      </c>
      <c r="E7" s="31" t="s">
        <v>391</v>
      </c>
      <c r="F7" s="15" t="s">
        <v>415</v>
      </c>
    </row>
    <row r="8" customFormat="false" ht="15" hidden="false" customHeight="false" outlineLevel="0" collapsed="false">
      <c r="A8" s="4" t="s">
        <v>416</v>
      </c>
      <c r="B8" s="4" t="s">
        <v>417</v>
      </c>
      <c r="C8" s="31" t="s">
        <v>397</v>
      </c>
      <c r="D8" s="31" t="s">
        <v>399</v>
      </c>
      <c r="E8" s="31" t="s">
        <v>400</v>
      </c>
      <c r="F8" s="15" t="s">
        <v>418</v>
      </c>
    </row>
    <row r="9" customFormat="false" ht="15" hidden="false" customHeight="false" outlineLevel="0" collapsed="false">
      <c r="A9" s="4" t="s">
        <v>419</v>
      </c>
      <c r="B9" s="4" t="s">
        <v>73</v>
      </c>
      <c r="C9" s="32" t="n">
        <f aca="false">voice_share</f>
        <v>0.5</v>
      </c>
      <c r="D9" s="32" t="n">
        <f aca="false">voice_share</f>
        <v>0.5</v>
      </c>
      <c r="E9" s="16" t="n">
        <v>1</v>
      </c>
      <c r="F9" s="15" t="s">
        <v>420</v>
      </c>
    </row>
    <row r="10" customFormat="false" ht="15" hidden="false" customHeight="false" outlineLevel="0" collapsed="false">
      <c r="A10" s="4" t="s">
        <v>421</v>
      </c>
      <c r="B10" s="4" t="s">
        <v>82</v>
      </c>
      <c r="C10" s="24" t="n">
        <v>0</v>
      </c>
      <c r="D10" s="24" t="n">
        <v>1</v>
      </c>
      <c r="E10" s="24" t="n">
        <v>0</v>
      </c>
      <c r="F10" s="15" t="s">
        <v>422</v>
      </c>
    </row>
    <row r="11" customFormat="false" ht="15" hidden="false" customHeight="false" outlineLevel="0" collapsed="false">
      <c r="A11" s="4" t="s">
        <v>423</v>
      </c>
      <c r="B11" s="4" t="s">
        <v>82</v>
      </c>
      <c r="C11" s="24" t="n">
        <v>0</v>
      </c>
      <c r="D11" s="24" t="n">
        <v>0</v>
      </c>
      <c r="E11" s="24" t="n">
        <v>1</v>
      </c>
      <c r="F11" s="15" t="s">
        <v>424</v>
      </c>
    </row>
    <row r="12" customFormat="false" ht="15" hidden="false" customHeight="false" outlineLevel="0" collapsed="false">
      <c r="A12" s="4" t="s">
        <v>425</v>
      </c>
      <c r="B12" s="4" t="s">
        <v>82</v>
      </c>
      <c r="C12" s="24" t="n">
        <v>0</v>
      </c>
      <c r="D12" s="24" t="n">
        <v>0</v>
      </c>
      <c r="E12" s="24" t="n">
        <v>1</v>
      </c>
      <c r="F12" s="15" t="s">
        <v>426</v>
      </c>
    </row>
    <row r="13" customFormat="false" ht="15" hidden="false" customHeight="false" outlineLevel="0" collapsed="false">
      <c r="A13" s="4" t="s">
        <v>427</v>
      </c>
      <c r="B13" s="4" t="s">
        <v>73</v>
      </c>
      <c r="C13" s="16" t="n">
        <v>1</v>
      </c>
      <c r="D13" s="16" t="n">
        <v>1</v>
      </c>
      <c r="E13" s="16" t="n">
        <v>0</v>
      </c>
      <c r="F13" s="15" t="s">
        <v>428</v>
      </c>
    </row>
    <row r="14" customFormat="false" ht="15" hidden="false" customHeight="false" outlineLevel="0" collapsed="false">
      <c r="A14" s="4" t="s">
        <v>429</v>
      </c>
      <c r="B14" s="4" t="s">
        <v>144</v>
      </c>
      <c r="C14" s="33" t="n">
        <f aca="false">render_web_s</f>
        <v>7</v>
      </c>
      <c r="D14" s="33" t="n">
        <f aca="false">render_web_s</f>
        <v>7</v>
      </c>
      <c r="E14" s="33" t="n">
        <f aca="false">render_web_l</f>
        <v>25</v>
      </c>
      <c r="F14" s="15"/>
    </row>
    <row r="15" customFormat="false" ht="15" hidden="false" customHeight="false" outlineLevel="0" collapsed="false">
      <c r="A15" s="4" t="s">
        <v>430</v>
      </c>
      <c r="B15" s="4" t="s">
        <v>144</v>
      </c>
      <c r="C15" s="33" t="n">
        <f aca="false">render_pg_s</f>
        <v>6</v>
      </c>
      <c r="D15" s="33" t="n">
        <f aca="false">render_pg_l</f>
        <v>19</v>
      </c>
      <c r="E15" s="33" t="n">
        <f aca="false">render_pg_l</f>
        <v>19</v>
      </c>
      <c r="F15" s="15"/>
    </row>
    <row r="16" customFormat="false" ht="15" hidden="false" customHeight="false" outlineLevel="0" collapsed="false">
      <c r="A16" s="12" t="s">
        <v>431</v>
      </c>
      <c r="B16" s="13"/>
      <c r="C16" s="13"/>
      <c r="D16" s="13"/>
      <c r="E16" s="13"/>
      <c r="F16" s="13"/>
    </row>
    <row r="17" customFormat="false" ht="15" hidden="false" customHeight="false" outlineLevel="0" collapsed="false">
      <c r="A17" s="4" t="s">
        <v>432</v>
      </c>
      <c r="B17" s="4" t="s">
        <v>433</v>
      </c>
      <c r="C17" s="34" t="n">
        <f aca="false">INDEX(llm_in,MATCH(C7,llm_names,0))</f>
        <v>1</v>
      </c>
      <c r="D17" s="34" t="n">
        <f aca="false">INDEX(llm_in,MATCH(D7,llm_names,0))</f>
        <v>5</v>
      </c>
      <c r="E17" s="34" t="n">
        <f aca="false">INDEX(llm_in,MATCH(E7,llm_names,0))</f>
        <v>5</v>
      </c>
      <c r="F17" s="15"/>
    </row>
    <row r="18" customFormat="false" ht="15" hidden="false" customHeight="false" outlineLevel="0" collapsed="false">
      <c r="A18" s="4" t="s">
        <v>434</v>
      </c>
      <c r="B18" s="4" t="s">
        <v>433</v>
      </c>
      <c r="C18" s="34" t="n">
        <f aca="false">INDEX(llm_out,MATCH(C7,llm_names,0))</f>
        <v>5</v>
      </c>
      <c r="D18" s="34" t="n">
        <f aca="false">INDEX(llm_out,MATCH(D7,llm_names,0))</f>
        <v>25</v>
      </c>
      <c r="E18" s="34" t="n">
        <f aca="false">INDEX(llm_out,MATCH(E7,llm_names,0))</f>
        <v>25</v>
      </c>
      <c r="F18" s="15"/>
    </row>
    <row r="19" customFormat="false" ht="15" hidden="false" customHeight="false" outlineLevel="0" collapsed="false">
      <c r="A19" s="4" t="s">
        <v>435</v>
      </c>
      <c r="B19" s="4" t="s">
        <v>396</v>
      </c>
      <c r="C19" s="35" t="n">
        <f aca="false">INDEX(tr_usd,MATCH(C8,tr_names,0))</f>
        <v>0.003</v>
      </c>
      <c r="D19" s="35" t="n">
        <f aca="false">INDEX(tr_usd,MATCH(D8,tr_names,0))</f>
        <v>0.0045</v>
      </c>
      <c r="E19" s="35" t="n">
        <f aca="false">INDEX(tr_usd,MATCH(E8,tr_names,0))</f>
        <v>0.006</v>
      </c>
      <c r="F19" s="15"/>
    </row>
    <row r="20" customFormat="false" ht="15" hidden="false" customHeight="false" outlineLevel="0" collapsed="false">
      <c r="A20" s="4" t="s">
        <v>436</v>
      </c>
      <c r="B20" s="4" t="s">
        <v>214</v>
      </c>
      <c r="C20" s="36" t="n">
        <f aca="false">IF(C12=1,wa_outside_window*wa_utility_usd/fx,tg_msg_usd/fx)</f>
        <v>0</v>
      </c>
      <c r="D20" s="36" t="n">
        <f aca="false">IF(D12=1,wa_outside_window*wa_utility_usd/fx,tg_msg_usd/fx)</f>
        <v>0</v>
      </c>
      <c r="E20" s="36" t="n">
        <f aca="false">IF(E12=1,wa_outside_window*wa_utility_usd/fx,tg_msg_usd/fx)</f>
        <v>0.00498038031995171</v>
      </c>
      <c r="F20" s="15" t="s">
        <v>437</v>
      </c>
    </row>
    <row r="21" customFormat="false" ht="15" hidden="false" customHeight="false" outlineLevel="0" collapsed="false">
      <c r="A21" s="4" t="s">
        <v>438</v>
      </c>
      <c r="B21" s="4" t="s">
        <v>214</v>
      </c>
      <c r="C21" s="36" t="n">
        <f aca="false">mo_tier_gbp/(mo_tier_calls*30)</f>
        <v>0.000333333333333333</v>
      </c>
      <c r="D21" s="36" t="n">
        <f aca="false">mo_tier_gbp/(mo_tier_calls*30)</f>
        <v>0.000333333333333333</v>
      </c>
      <c r="E21" s="36" t="n">
        <f aca="false">mo_tier_gbp/(mo_tier_calls*30)</f>
        <v>0.000333333333333333</v>
      </c>
      <c r="F21" s="15" t="s">
        <v>439</v>
      </c>
    </row>
    <row r="22" customFormat="false" ht="15" hidden="false" customHeight="false" outlineLevel="0" collapsed="false">
      <c r="A22" s="4" t="s">
        <v>440</v>
      </c>
      <c r="B22" s="4" t="s">
        <v>73</v>
      </c>
      <c r="C22" s="37" t="n">
        <f aca="false">stars_dev_usd*(1-stars_withdraw_fee)/stars_user_usd</f>
        <v>0.620603015075377</v>
      </c>
      <c r="D22" s="37" t="n">
        <f aca="false">stars_dev_usd*(1-stars_withdraw_fee)/stars_user_usd</f>
        <v>0.620603015075377</v>
      </c>
      <c r="E22" s="37" t="n">
        <f aca="false">stars_dev_usd*(1-stars_withdraw_fee)/stars_user_usd</f>
        <v>0.620603015075377</v>
      </c>
      <c r="F22" s="15" t="s">
        <v>441</v>
      </c>
    </row>
    <row r="23" customFormat="false" ht="15" hidden="false" customHeight="false" outlineLevel="0" collapsed="false">
      <c r="A23" s="12" t="s">
        <v>442</v>
      </c>
      <c r="B23" s="13"/>
      <c r="C23" s="13"/>
      <c r="D23" s="13"/>
      <c r="E23" s="13"/>
      <c r="F23" s="13"/>
    </row>
    <row r="24" customFormat="false" ht="15" hidden="false" customHeight="false" outlineLevel="0" collapsed="false">
      <c r="A24" s="4" t="s">
        <v>416</v>
      </c>
      <c r="B24" s="4" t="s">
        <v>214</v>
      </c>
      <c r="C24" s="36" t="n">
        <f aca="false">C9*onb_speech_min*C19/fx</f>
        <v>0.00905523694536674</v>
      </c>
      <c r="D24" s="36" t="n">
        <f aca="false">D9*onb_speech_min*D19/fx</f>
        <v>0.0135828554180501</v>
      </c>
      <c r="E24" s="36" t="n">
        <f aca="false">E9*onb_speech_min*E19/fx</f>
        <v>0.036220947781467</v>
      </c>
      <c r="F24" s="15"/>
    </row>
    <row r="25" customFormat="false" ht="15" hidden="false" customHeight="false" outlineLevel="0" collapsed="false">
      <c r="A25" s="4" t="s">
        <v>443</v>
      </c>
      <c r="B25" s="4" t="s">
        <v>214</v>
      </c>
      <c r="C25" s="36" t="n">
        <f aca="false">(onb_in_tokens*C17+onb_out_tokens*C18)/1000000/fx</f>
        <v>0.0475399939631754</v>
      </c>
      <c r="D25" s="36" t="n">
        <f aca="false">(onb_in_tokens*D17+onb_out_tokens*D18)/1000000/fx</f>
        <v>0.237699969815877</v>
      </c>
      <c r="E25" s="36" t="n">
        <f aca="false">(onb_in_tokens*E17+onb_out_tokens*E18)/1000000/fx</f>
        <v>0.237699969815877</v>
      </c>
      <c r="F25" s="15"/>
    </row>
    <row r="26" customFormat="false" ht="15" hidden="false" customHeight="false" outlineLevel="0" collapsed="false">
      <c r="A26" s="4" t="s">
        <v>444</v>
      </c>
      <c r="B26" s="4" t="s">
        <v>214</v>
      </c>
      <c r="C26" s="36" t="n">
        <f aca="false">C10*onb_host_chars/1000*aura2_usd_1k/fx</f>
        <v>0</v>
      </c>
      <c r="D26" s="36" t="n">
        <f aca="false">D10*onb_host_chars/1000*aura2_usd_1k/fx</f>
        <v>0.0679142770902505</v>
      </c>
      <c r="E26" s="36" t="n">
        <f aca="false">E10*onb_host_chars/1000*aura2_usd_1k/fx</f>
        <v>0</v>
      </c>
      <c r="F26" s="15"/>
    </row>
    <row r="27" customFormat="false" ht="15" hidden="false" customHeight="false" outlineLevel="0" collapsed="false">
      <c r="A27" s="4" t="s">
        <v>445</v>
      </c>
      <c r="B27" s="4" t="s">
        <v>214</v>
      </c>
      <c r="C27" s="36" t="n">
        <f aca="false">C11*onb_session_min*tavus_overage_usd/fx</f>
        <v>0</v>
      </c>
      <c r="D27" s="36" t="n">
        <f aca="false">D11*onb_session_min*tavus_overage_usd/fx</f>
        <v>0</v>
      </c>
      <c r="E27" s="36" t="n">
        <f aca="false">E11*onb_session_min*tavus_overage_usd/fx</f>
        <v>4.18804708723212</v>
      </c>
      <c r="F27" s="15" t="s">
        <v>446</v>
      </c>
    </row>
    <row r="28" customFormat="false" ht="15" hidden="false" customHeight="false" outlineLevel="0" collapsed="false">
      <c r="A28" s="4" t="s">
        <v>447</v>
      </c>
      <c r="B28" s="4" t="s">
        <v>214</v>
      </c>
      <c r="C28" s="7" t="n">
        <f aca="false">onb_embed_gbp</f>
        <v>0</v>
      </c>
      <c r="D28" s="7" t="n">
        <f aca="false">onb_embed_gbp</f>
        <v>0</v>
      </c>
      <c r="E28" s="7" t="n">
        <f aca="false">onb_embed_gbp</f>
        <v>0</v>
      </c>
      <c r="F28" s="15" t="s">
        <v>448</v>
      </c>
    </row>
    <row r="29" customFormat="false" ht="15" hidden="false" customHeight="false" outlineLevel="0" collapsed="false">
      <c r="A29" s="5" t="s">
        <v>449</v>
      </c>
      <c r="B29" s="4" t="s">
        <v>214</v>
      </c>
      <c r="C29" s="36" t="n">
        <f aca="false">SUM(C24:C28)</f>
        <v>0.0565952309085421</v>
      </c>
      <c r="D29" s="36" t="n">
        <f aca="false">SUM(D24:D28)</f>
        <v>0.319197102324178</v>
      </c>
      <c r="E29" s="36" t="n">
        <f aca="false">SUM(E24:E28)</f>
        <v>4.46196800482946</v>
      </c>
      <c r="F29" s="15"/>
    </row>
    <row r="30" customFormat="false" ht="15" hidden="false" customHeight="false" outlineLevel="0" collapsed="false">
      <c r="A30" s="12" t="s">
        <v>450</v>
      </c>
      <c r="B30" s="13"/>
      <c r="C30" s="13"/>
      <c r="D30" s="13"/>
      <c r="E30" s="13"/>
      <c r="F30" s="13"/>
    </row>
    <row r="31" customFormat="false" ht="15" hidden="false" customHeight="false" outlineLevel="0" collapsed="false">
      <c r="A31" s="4" t="s">
        <v>451</v>
      </c>
      <c r="B31" s="4" t="s">
        <v>214</v>
      </c>
      <c r="C31" s="36" t="n">
        <f aca="false">(plan_in_tokens*C17+plan_out_tokens*C18)/1000000/fx</f>
        <v>0.0169785692725626</v>
      </c>
      <c r="D31" s="36" t="n">
        <f aca="false">(plan_in_tokens*D17+plan_out_tokens*D18)/1000000/fx</f>
        <v>0.0848928463628132</v>
      </c>
      <c r="E31" s="36" t="n">
        <f aca="false">(plan_in_tokens*E17+plan_out_tokens*E18)/1000000/fx</f>
        <v>0.0848928463628132</v>
      </c>
      <c r="F31" s="15" t="s">
        <v>452</v>
      </c>
    </row>
    <row r="32" customFormat="false" ht="15" hidden="false" customHeight="false" outlineLevel="0" collapsed="false">
      <c r="A32" s="4" t="s">
        <v>453</v>
      </c>
      <c r="B32" s="4" t="s">
        <v>214</v>
      </c>
      <c r="C32" s="36" t="n">
        <f aca="false">plan_weather_calls*C21</f>
        <v>0.00133333333333333</v>
      </c>
      <c r="D32" s="36" t="n">
        <f aca="false">plan_weather_calls*D21</f>
        <v>0.00133333333333333</v>
      </c>
      <c r="E32" s="36" t="n">
        <f aca="false">plan_weather_calls*E21</f>
        <v>0.00133333333333333</v>
      </c>
      <c r="F32" s="15"/>
    </row>
    <row r="33" customFormat="false" ht="15" hidden="false" customHeight="false" outlineLevel="0" collapsed="false">
      <c r="A33" s="4" t="s">
        <v>454</v>
      </c>
      <c r="B33" s="4" t="s">
        <v>214</v>
      </c>
      <c r="C33" s="7" t="n">
        <f aca="false">plan_routing_gbp</f>
        <v>0</v>
      </c>
      <c r="D33" s="7" t="n">
        <f aca="false">plan_routing_gbp</f>
        <v>0</v>
      </c>
      <c r="E33" s="7" t="n">
        <f aca="false">plan_routing_gbp</f>
        <v>0</v>
      </c>
      <c r="F33" s="15"/>
    </row>
    <row r="34" customFormat="false" ht="15" hidden="false" customHeight="false" outlineLevel="0" collapsed="false">
      <c r="A34" s="4" t="s">
        <v>455</v>
      </c>
      <c r="B34" s="4" t="s">
        <v>214</v>
      </c>
      <c r="C34" s="36" t="n">
        <f aca="false">plan_msgs*C20</f>
        <v>0</v>
      </c>
      <c r="D34" s="36" t="n">
        <f aca="false">plan_msgs*D20</f>
        <v>0</v>
      </c>
      <c r="E34" s="36" t="n">
        <f aca="false">plan_msgs*E20</f>
        <v>0.0597645638394205</v>
      </c>
      <c r="F34" s="15"/>
    </row>
    <row r="35" customFormat="false" ht="15" hidden="false" customHeight="false" outlineLevel="0" collapsed="false">
      <c r="A35" s="5" t="s">
        <v>456</v>
      </c>
      <c r="B35" s="4" t="s">
        <v>214</v>
      </c>
      <c r="C35" s="36" t="n">
        <f aca="false">SUM(C31:C34)</f>
        <v>0.018311902605896</v>
      </c>
      <c r="D35" s="36" t="n">
        <f aca="false">SUM(D31:D34)</f>
        <v>0.0862261796961465</v>
      </c>
      <c r="E35" s="36" t="n">
        <f aca="false">SUM(E31:E34)</f>
        <v>0.145990743535567</v>
      </c>
      <c r="F35" s="15"/>
    </row>
    <row r="36" customFormat="false" ht="15" hidden="false" customHeight="false" outlineLevel="0" collapsed="false">
      <c r="A36" s="12" t="s">
        <v>457</v>
      </c>
      <c r="B36" s="13"/>
      <c r="C36" s="13"/>
      <c r="D36" s="13"/>
      <c r="E36" s="13"/>
      <c r="F36" s="13"/>
    </row>
    <row r="37" customFormat="false" ht="15" hidden="false" customHeight="false" outlineLevel="0" collapsed="false">
      <c r="A37" s="4" t="s">
        <v>458</v>
      </c>
      <c r="B37" s="4" t="s">
        <v>214</v>
      </c>
      <c r="C37" s="36" t="n">
        <f aca="false">plans_per_payer*C35</f>
        <v>0.0274678539088439</v>
      </c>
      <c r="D37" s="36" t="n">
        <f aca="false">plans_per_payer*D35</f>
        <v>0.12933926954422</v>
      </c>
      <c r="E37" s="36" t="n">
        <f aca="false">plans_per_payer*E35</f>
        <v>0.21898611530335</v>
      </c>
      <c r="F37" s="15"/>
    </row>
    <row r="38" customFormat="false" ht="15" hidden="false" customHeight="false" outlineLevel="0" collapsed="false">
      <c r="A38" s="4" t="s">
        <v>459</v>
      </c>
      <c r="B38" s="4" t="s">
        <v>214</v>
      </c>
      <c r="C38" s="36" t="n">
        <f aca="false">C12*reengage_msgs*wa_marketing_gbp</f>
        <v>0</v>
      </c>
      <c r="D38" s="36" t="n">
        <f aca="false">D12*reengage_msgs*wa_marketing_gbp</f>
        <v>0</v>
      </c>
      <c r="E38" s="36" t="n">
        <f aca="false">E12*reengage_msgs*wa_marketing_gbp</f>
        <v>0.0764</v>
      </c>
      <c r="F38" s="15"/>
    </row>
    <row r="39" customFormat="false" ht="15" hidden="false" customHeight="false" outlineLevel="0" collapsed="false">
      <c r="A39" s="4" t="s">
        <v>460</v>
      </c>
      <c r="B39" s="4" t="s">
        <v>214</v>
      </c>
      <c r="C39" s="36" t="n">
        <f aca="false">storage_mb_user/1024*render_storage/fx</f>
        <v>0.00110537560368246</v>
      </c>
      <c r="D39" s="36" t="n">
        <f aca="false">storage_mb_user/1024*render_storage/fx</f>
        <v>0.00110537560368246</v>
      </c>
      <c r="E39" s="36" t="n">
        <f aca="false">storage_mb_user/1024*render_storage/fx</f>
        <v>0.00110537560368246</v>
      </c>
      <c r="F39" s="15"/>
    </row>
    <row r="40" customFormat="false" ht="15" hidden="false" customHeight="false" outlineLevel="0" collapsed="false">
      <c r="A40" s="4" t="s">
        <v>461</v>
      </c>
      <c r="B40" s="4" t="s">
        <v>214</v>
      </c>
      <c r="C40" s="36" t="n">
        <f aca="false">(C14+C15)/fx/users_per_unit</f>
        <v>0.00490492001207365</v>
      </c>
      <c r="D40" s="36" t="n">
        <f aca="false">(D14+D15)/fx/users_per_unit</f>
        <v>0.0098098400241473</v>
      </c>
      <c r="E40" s="36" t="n">
        <f aca="false">(E14+E15)/fx/users_per_unit</f>
        <v>0.0166012677331724</v>
      </c>
      <c r="F40" s="15"/>
    </row>
    <row r="41" customFormat="false" ht="15" hidden="false" customHeight="false" outlineLevel="0" collapsed="false">
      <c r="A41" s="5" t="s">
        <v>462</v>
      </c>
      <c r="B41" s="4" t="s">
        <v>214</v>
      </c>
      <c r="C41" s="36" t="n">
        <f aca="false">SUM(C37:C40)</f>
        <v>0.0334781495246001</v>
      </c>
      <c r="D41" s="36" t="n">
        <f aca="false">SUM(D37:D40)</f>
        <v>0.14025448517205</v>
      </c>
      <c r="E41" s="36" t="n">
        <f aca="false">SUM(E37:E40)</f>
        <v>0.313092758640205</v>
      </c>
      <c r="F41" s="15"/>
    </row>
    <row r="42" customFormat="false" ht="15" hidden="false" customHeight="false" outlineLevel="0" collapsed="false">
      <c r="A42" s="4" t="s">
        <v>463</v>
      </c>
      <c r="B42" s="4" t="s">
        <v>342</v>
      </c>
      <c r="C42" s="38" t="n">
        <f aca="false">support_min/60</f>
        <v>0.05</v>
      </c>
      <c r="D42" s="38" t="n">
        <f aca="false">support_min/60</f>
        <v>0.05</v>
      </c>
      <c r="E42" s="38" t="n">
        <f aca="false">support_min/60</f>
        <v>0.05</v>
      </c>
      <c r="F42" s="15"/>
    </row>
    <row r="43" customFormat="false" ht="15" hidden="false" customHeight="false" outlineLevel="0" collapsed="false">
      <c r="A43" s="5" t="s">
        <v>464</v>
      </c>
      <c r="B43" s="4" t="s">
        <v>214</v>
      </c>
      <c r="C43" s="39" t="n">
        <f aca="false">C41+C42*founder_rate</f>
        <v>1.2834781495246</v>
      </c>
      <c r="D43" s="39" t="n">
        <f aca="false">D41+D42*founder_rate</f>
        <v>1.39025448517205</v>
      </c>
      <c r="E43" s="39" t="n">
        <f aca="false">E41+E42*founder_rate</f>
        <v>1.56309275864021</v>
      </c>
      <c r="F43" s="15" t="s">
        <v>465</v>
      </c>
    </row>
    <row r="44" customFormat="false" ht="15" hidden="false" customHeight="false" outlineLevel="0" collapsed="false">
      <c r="A44" s="12" t="s">
        <v>466</v>
      </c>
      <c r="B44" s="13"/>
      <c r="C44" s="13"/>
      <c r="D44" s="13"/>
      <c r="E44" s="13"/>
      <c r="F44" s="13"/>
    </row>
    <row r="45" customFormat="false" ht="15" hidden="false" customHeight="false" outlineLevel="0" collapsed="false">
      <c r="A45" s="4" t="s">
        <v>467</v>
      </c>
      <c r="B45" s="4" t="s">
        <v>166</v>
      </c>
      <c r="C45" s="39" t="n">
        <f aca="false">(C14+C15)/fx</f>
        <v>9.8098400241473</v>
      </c>
      <c r="D45" s="39" t="n">
        <f aca="false">(D14+D15)/fx</f>
        <v>19.6196800482946</v>
      </c>
      <c r="E45" s="39" t="n">
        <f aca="false">(E14+E15)/fx</f>
        <v>33.2025354663447</v>
      </c>
      <c r="F45" s="15"/>
    </row>
    <row r="46" customFormat="false" ht="15" hidden="false" customHeight="false" outlineLevel="0" collapsed="false">
      <c r="A46" s="4" t="s">
        <v>468</v>
      </c>
      <c r="B46" s="4" t="s">
        <v>166</v>
      </c>
      <c r="C46" s="39" t="n">
        <f aca="false">C11*tavus_plan_usd/fx</f>
        <v>0</v>
      </c>
      <c r="D46" s="39" t="n">
        <f aca="false">D11*tavus_plan_usd/fx</f>
        <v>0</v>
      </c>
      <c r="E46" s="39" t="n">
        <f aca="false">E11*tavus_plan_usd/fx</f>
        <v>44.5215816480531</v>
      </c>
      <c r="F46" s="15"/>
    </row>
    <row r="47" customFormat="false" ht="15" hidden="false" customHeight="false" outlineLevel="0" collapsed="false">
      <c r="A47" s="4" t="s">
        <v>469</v>
      </c>
      <c r="B47" s="4" t="s">
        <v>166</v>
      </c>
      <c r="C47" s="39" t="n">
        <f aca="false">ico_fee_year/12</f>
        <v>4.33333333333333</v>
      </c>
      <c r="D47" s="39" t="n">
        <f aca="false">ico_fee_year/12</f>
        <v>4.33333333333333</v>
      </c>
      <c r="E47" s="39" t="n">
        <f aca="false">ico_fee_year/12</f>
        <v>4.33333333333333</v>
      </c>
      <c r="F47" s="15"/>
    </row>
    <row r="48" customFormat="false" ht="15" hidden="false" customHeight="false" outlineLevel="0" collapsed="false">
      <c r="A48" s="4" t="s">
        <v>97</v>
      </c>
      <c r="B48" s="4" t="s">
        <v>166</v>
      </c>
      <c r="C48" s="39" t="n">
        <f aca="false">domain_year/12</f>
        <v>1</v>
      </c>
      <c r="D48" s="39" t="n">
        <f aca="false">domain_year/12</f>
        <v>1</v>
      </c>
      <c r="E48" s="39" t="n">
        <f aca="false">domain_year/12</f>
        <v>1</v>
      </c>
      <c r="F48" s="15"/>
    </row>
    <row r="49" customFormat="false" ht="15" hidden="false" customHeight="false" outlineLevel="0" collapsed="false">
      <c r="A49" s="5" t="s">
        <v>470</v>
      </c>
      <c r="B49" s="4" t="s">
        <v>166</v>
      </c>
      <c r="C49" s="39" t="n">
        <f aca="false">SUM(C45:C48)</f>
        <v>15.1431733574806</v>
      </c>
      <c r="D49" s="39" t="n">
        <f aca="false">SUM(D45:D48)</f>
        <v>24.9530133816279</v>
      </c>
      <c r="E49" s="39" t="n">
        <f aca="false">SUM(E45:E48)</f>
        <v>83.0574504477312</v>
      </c>
      <c r="F49" s="15" t="s">
        <v>471</v>
      </c>
    </row>
    <row r="50" customFormat="false" ht="15" hidden="false" customHeight="false" outlineLevel="0" collapsed="false">
      <c r="A50" s="12" t="s">
        <v>472</v>
      </c>
      <c r="B50" s="13"/>
      <c r="C50" s="13"/>
      <c r="D50" s="13"/>
      <c r="E50" s="13"/>
      <c r="F50" s="13"/>
    </row>
    <row r="51" customFormat="false" ht="15" hidden="false" customHeight="false" outlineLevel="0" collapsed="false">
      <c r="A51" s="4" t="s">
        <v>473</v>
      </c>
      <c r="B51" s="4" t="s">
        <v>214</v>
      </c>
      <c r="C51" s="36" t="n">
        <f aca="false">C29+onb_completion*free_plans*C35</f>
        <v>0.0694135627326693</v>
      </c>
      <c r="D51" s="36" t="n">
        <f aca="false">D29+onb_completion*free_plans*D35</f>
        <v>0.37955542811148</v>
      </c>
      <c r="E51" s="36" t="n">
        <f aca="false">E29+onb_completion*free_plans*E35</f>
        <v>4.56416152530436</v>
      </c>
      <c r="F51" s="15" t="s">
        <v>474</v>
      </c>
    </row>
    <row r="52" customFormat="false" ht="15" hidden="false" customHeight="false" outlineLevel="0" collapsed="false">
      <c r="A52" s="12" t="s">
        <v>475</v>
      </c>
      <c r="B52" s="13"/>
      <c r="C52" s="13"/>
      <c r="D52" s="13"/>
      <c r="E52" s="13"/>
      <c r="F52" s="13"/>
    </row>
    <row r="53" customFormat="false" ht="15" hidden="false" customHeight="false" outlineLevel="0" collapsed="false">
      <c r="A53" s="4" t="s">
        <v>476</v>
      </c>
      <c r="B53" s="4" t="s">
        <v>166</v>
      </c>
      <c r="C53" s="36" t="n">
        <f aca="false">plans_per_payer*plan_msgs*tg_msg_usd/fx</f>
        <v>0</v>
      </c>
      <c r="D53" s="36" t="n">
        <f aca="false">plans_per_payer*plan_msgs*tg_msg_usd/fx</f>
        <v>0</v>
      </c>
      <c r="E53" s="36" t="n">
        <f aca="false">plans_per_payer*plan_msgs*tg_msg_usd/fx</f>
        <v>0</v>
      </c>
      <c r="F53" s="15" t="s">
        <v>477</v>
      </c>
    </row>
    <row r="54" customFormat="false" ht="15" hidden="false" customHeight="false" outlineLevel="0" collapsed="false">
      <c r="A54" s="4" t="s">
        <v>478</v>
      </c>
      <c r="B54" s="4" t="s">
        <v>166</v>
      </c>
      <c r="C54" s="36" t="n">
        <f aca="false">plans_per_payer*plan_msgs*wa_outside_window*wa_utility_usd/fx+reengage_msgs*wa_marketing_gbp</f>
        <v>0.166046845759131</v>
      </c>
      <c r="D54" s="36" t="n">
        <f aca="false">plans_per_payer*plan_msgs*wa_outside_window*wa_utility_usd/fx+reengage_msgs*wa_marketing_gbp</f>
        <v>0.166046845759131</v>
      </c>
      <c r="E54" s="36" t="n">
        <f aca="false">plans_per_payer*plan_msgs*wa_outside_window*wa_utility_usd/fx+reengage_msgs*wa_marketing_gbp</f>
        <v>0.166046845759131</v>
      </c>
      <c r="F54" s="15" t="s">
        <v>479</v>
      </c>
    </row>
  </sheetData>
  <dataValidations count="2">
    <dataValidation allowBlank="false" errorStyle="stop" operator="between" showDropDown="false" showErrorMessage="false" showInputMessage="false" sqref="C7:E7" type="list">
      <formula1>llm_names</formula1>
      <formula2>0</formula2>
    </dataValidation>
    <dataValidation allowBlank="false" errorStyle="stop" operator="between" showDropDown="false" showErrorMessage="false" showInputMessage="false" sqref="C8:E8" type="list">
      <formula1>tr_names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5" min="2" style="0" width="16"/>
    <col collapsed="false" customWidth="true" hidden="false" outlineLevel="0" max="6" min="6" style="0" width="70"/>
  </cols>
  <sheetData>
    <row r="1" customFormat="false" ht="17.35" hidden="false" customHeight="false" outlineLevel="0" collapsed="false">
      <c r="A1" s="1" t="s">
        <v>480</v>
      </c>
    </row>
    <row r="2" customFormat="false" ht="15" hidden="false" customHeight="false" outlineLevel="0" collapsed="false">
      <c r="A2" s="2" t="s">
        <v>481</v>
      </c>
    </row>
    <row r="4" customFormat="false" ht="15" hidden="false" customHeight="false" outlineLevel="0" collapsed="false">
      <c r="A4" s="6" t="s">
        <v>27</v>
      </c>
      <c r="B4" s="6" t="s">
        <v>58</v>
      </c>
      <c r="C4" s="6" t="s">
        <v>28</v>
      </c>
      <c r="D4" s="6" t="s">
        <v>29</v>
      </c>
      <c r="E4" s="6" t="s">
        <v>30</v>
      </c>
      <c r="F4" s="6" t="s">
        <v>405</v>
      </c>
    </row>
    <row r="5" customFormat="false" ht="15" hidden="false" customHeight="false" outlineLevel="0" collapsed="false">
      <c r="A5" s="12" t="s">
        <v>482</v>
      </c>
      <c r="B5" s="13"/>
      <c r="C5" s="13"/>
      <c r="D5" s="13"/>
      <c r="E5" s="13"/>
      <c r="F5" s="13"/>
    </row>
    <row r="6" customFormat="false" ht="15" hidden="false" customHeight="false" outlineLevel="0" collapsed="false">
      <c r="A6" s="4" t="s">
        <v>483</v>
      </c>
      <c r="B6" s="4" t="s">
        <v>214</v>
      </c>
      <c r="C6" s="8" t="n">
        <f aca="false">price_month</f>
        <v>4.99</v>
      </c>
      <c r="D6" s="8" t="n">
        <f aca="false">price_month</f>
        <v>4.99</v>
      </c>
      <c r="E6" s="8" t="n">
        <f aca="false">price_month</f>
        <v>4.99</v>
      </c>
      <c r="F6" s="15"/>
    </row>
    <row r="7" customFormat="false" ht="15" hidden="false" customHeight="false" outlineLevel="0" collapsed="false">
      <c r="A7" s="4" t="s">
        <v>256</v>
      </c>
      <c r="B7" s="4" t="s">
        <v>214</v>
      </c>
      <c r="C7" s="8" t="n">
        <f aca="false">price_year</f>
        <v>29.99</v>
      </c>
      <c r="D7" s="8" t="n">
        <f aca="false">price_year</f>
        <v>29.99</v>
      </c>
      <c r="E7" s="8" t="n">
        <f aca="false">price_year</f>
        <v>29.99</v>
      </c>
      <c r="F7" s="15"/>
    </row>
    <row r="8" customFormat="false" ht="15" hidden="false" customHeight="false" outlineLevel="0" collapsed="false">
      <c r="A8" s="4" t="s">
        <v>484</v>
      </c>
      <c r="B8" s="4" t="s">
        <v>73</v>
      </c>
      <c r="C8" s="32" t="n">
        <f aca="false">Costs!C13</f>
        <v>1</v>
      </c>
      <c r="D8" s="32" t="n">
        <f aca="false">Costs!D13</f>
        <v>1</v>
      </c>
      <c r="E8" s="32" t="n">
        <f aca="false">Costs!E13</f>
        <v>0</v>
      </c>
      <c r="F8" s="15"/>
    </row>
    <row r="9" customFormat="false" ht="15" hidden="false" customHeight="false" outlineLevel="0" collapsed="false">
      <c r="A9" s="4" t="s">
        <v>485</v>
      </c>
      <c r="B9" s="4" t="s">
        <v>73</v>
      </c>
      <c r="C9" s="32" t="n">
        <f aca="false">Costs!C22</f>
        <v>0.620603015075377</v>
      </c>
      <c r="D9" s="32" t="n">
        <f aca="false">Costs!D22</f>
        <v>0.620603015075377</v>
      </c>
      <c r="E9" s="32" t="n">
        <f aca="false">Costs!E22</f>
        <v>0.620603015075377</v>
      </c>
      <c r="F9" s="15"/>
    </row>
    <row r="10" customFormat="false" ht="15" hidden="false" customHeight="false" outlineLevel="0" collapsed="false">
      <c r="A10" s="4" t="s">
        <v>486</v>
      </c>
      <c r="B10" s="4" t="s">
        <v>214</v>
      </c>
      <c r="C10" s="39" t="n">
        <f aca="false">C8*C6*C9+(1-C8)*(C6/(1+vat_rate*vat_registered)-(C6*stripe_pct+stripe_fixed))</f>
        <v>3.09680904522613</v>
      </c>
      <c r="D10" s="39" t="n">
        <f aca="false">D8*D6*D9+(1-D8)*(D6/(1+vat_rate*vat_registered)-(D6*stripe_pct+stripe_fixed))</f>
        <v>3.09680904522613</v>
      </c>
      <c r="E10" s="39" t="n">
        <f aca="false">E8*E6*E9+(1-E8)*(E6/(1+vat_rate*vat_registered)-(E6*stripe_pct+stripe_fixed))</f>
        <v>4.71515</v>
      </c>
      <c r="F10" s="15" t="s">
        <v>487</v>
      </c>
    </row>
    <row r="11" customFormat="false" ht="15" hidden="false" customHeight="false" outlineLevel="0" collapsed="false">
      <c r="A11" s="4" t="s">
        <v>488</v>
      </c>
      <c r="B11" s="4" t="s">
        <v>214</v>
      </c>
      <c r="C11" s="39" t="n">
        <f aca="false">C8*C7*C9+(1-C8)*(C7/(1+vat_rate*vat_registered)-(C7*stripe_pct+stripe_fixed))</f>
        <v>18.6118844221106</v>
      </c>
      <c r="D11" s="39" t="n">
        <f aca="false">D8*D7*D9+(1-D8)*(D7/(1+vat_rate*vat_registered)-(D7*stripe_pct+stripe_fixed))</f>
        <v>18.6118844221106</v>
      </c>
      <c r="E11" s="39" t="n">
        <f aca="false">E8*E7*E9+(1-E8)*(E7/(1+vat_rate*vat_registered)-(E7*stripe_pct+stripe_fixed))</f>
        <v>29.34015</v>
      </c>
      <c r="F11" s="15"/>
    </row>
    <row r="12" customFormat="false" ht="15" hidden="false" customHeight="false" outlineLevel="0" collapsed="false">
      <c r="A12" s="12" t="s">
        <v>489</v>
      </c>
      <c r="B12" s="13"/>
      <c r="C12" s="13"/>
      <c r="D12" s="13"/>
      <c r="E12" s="13"/>
      <c r="F12" s="13"/>
    </row>
    <row r="13" customFormat="false" ht="15" hidden="false" customHeight="false" outlineLevel="0" collapsed="false">
      <c r="A13" s="4" t="s">
        <v>490</v>
      </c>
      <c r="B13" s="4" t="s">
        <v>214</v>
      </c>
      <c r="C13" s="7" t="n">
        <f aca="false">Costs!C41</f>
        <v>0.0334781495246001</v>
      </c>
      <c r="D13" s="7" t="n">
        <f aca="false">Costs!D41</f>
        <v>0.14025448517205</v>
      </c>
      <c r="E13" s="7" t="n">
        <f aca="false">Costs!E41</f>
        <v>0.313092758640205</v>
      </c>
      <c r="F13" s="15"/>
    </row>
    <row r="14" customFormat="false" ht="15" hidden="false" customHeight="false" outlineLevel="0" collapsed="false">
      <c r="A14" s="4" t="s">
        <v>491</v>
      </c>
      <c r="B14" s="4" t="s">
        <v>214</v>
      </c>
      <c r="C14" s="39" t="n">
        <f aca="false">C10-C13</f>
        <v>3.06333089570153</v>
      </c>
      <c r="D14" s="39" t="n">
        <f aca="false">D10-D13</f>
        <v>2.95655456005408</v>
      </c>
      <c r="E14" s="39" t="n">
        <f aca="false">E10-E13</f>
        <v>4.4020572413598</v>
      </c>
      <c r="F14" s="15"/>
    </row>
    <row r="15" customFormat="false" ht="15" hidden="false" customHeight="false" outlineLevel="0" collapsed="false">
      <c r="A15" s="4" t="s">
        <v>492</v>
      </c>
      <c r="B15" s="4" t="s">
        <v>214</v>
      </c>
      <c r="C15" s="39" t="n">
        <f aca="false">C11-12*C13</f>
        <v>18.2101466278153</v>
      </c>
      <c r="D15" s="39" t="n">
        <f aca="false">D11-12*D13</f>
        <v>16.928830600046</v>
      </c>
      <c r="E15" s="39" t="n">
        <f aca="false">E11-12*E13</f>
        <v>25.5830368963175</v>
      </c>
      <c r="F15" s="15"/>
    </row>
    <row r="16" customFormat="false" ht="15" hidden="false" customHeight="false" outlineLevel="0" collapsed="false">
      <c r="A16" s="4" t="s">
        <v>493</v>
      </c>
      <c r="B16" s="4" t="s">
        <v>494</v>
      </c>
      <c r="C16" s="37" t="n">
        <f aca="false">C14/C6</f>
        <v>0.613893967074455</v>
      </c>
      <c r="D16" s="37" t="n">
        <f aca="false">D14/D6</f>
        <v>0.592495903818453</v>
      </c>
      <c r="E16" s="37" t="n">
        <f aca="false">E14/E6</f>
        <v>0.882175799871703</v>
      </c>
      <c r="F16" s="15"/>
    </row>
    <row r="17" customFormat="false" ht="15" hidden="false" customHeight="false" outlineLevel="0" collapsed="false">
      <c r="A17" s="12" t="s">
        <v>495</v>
      </c>
      <c r="B17" s="13"/>
      <c r="C17" s="13"/>
      <c r="D17" s="13"/>
      <c r="E17" s="13"/>
      <c r="F17" s="13"/>
    </row>
    <row r="18" customFormat="false" ht="15" hidden="false" customHeight="false" outlineLevel="0" collapsed="false">
      <c r="A18" s="4" t="s">
        <v>496</v>
      </c>
      <c r="B18" s="4" t="s">
        <v>73</v>
      </c>
      <c r="C18" s="37" t="n">
        <f aca="false">ret_monthly^(1/12)</f>
        <v>0.825404185268018</v>
      </c>
      <c r="D18" s="37" t="n">
        <f aca="false">ret_monthly^(1/12)</f>
        <v>0.825404185268018</v>
      </c>
      <c r="E18" s="37" t="n">
        <f aca="false">ret_monthly^(1/12)</f>
        <v>0.825404185268018</v>
      </c>
      <c r="F18" s="15" t="s">
        <v>497</v>
      </c>
    </row>
    <row r="19" customFormat="false" ht="15" hidden="false" customHeight="false" outlineLevel="0" collapsed="false">
      <c r="A19" s="4" t="s">
        <v>498</v>
      </c>
      <c r="B19" s="4" t="s">
        <v>499</v>
      </c>
      <c r="C19" s="40" t="n">
        <f aca="false">1/(1-C18)</f>
        <v>5.72751415338953</v>
      </c>
      <c r="D19" s="40" t="n">
        <f aca="false">1/(1-D18)</f>
        <v>5.72751415338953</v>
      </c>
      <c r="E19" s="40" t="n">
        <f aca="false">1/(1-E18)</f>
        <v>5.72751415338953</v>
      </c>
      <c r="F19" s="15" t="s">
        <v>500</v>
      </c>
    </row>
    <row r="20" customFormat="false" ht="15" hidden="false" customHeight="false" outlineLevel="0" collapsed="false">
      <c r="A20" s="4" t="s">
        <v>501</v>
      </c>
      <c r="B20" s="4" t="s">
        <v>502</v>
      </c>
      <c r="C20" s="38" t="n">
        <f aca="false">1/(1-ret_annual)</f>
        <v>1.63934426229508</v>
      </c>
      <c r="D20" s="38" t="n">
        <f aca="false">1/(1-ret_annual)</f>
        <v>1.63934426229508</v>
      </c>
      <c r="E20" s="38" t="n">
        <f aca="false">1/(1-ret_annual)</f>
        <v>1.63934426229508</v>
      </c>
      <c r="F20" s="15"/>
    </row>
    <row r="21" customFormat="false" ht="15" hidden="false" customHeight="false" outlineLevel="0" collapsed="false">
      <c r="A21" s="4" t="s">
        <v>503</v>
      </c>
      <c r="B21" s="4" t="s">
        <v>214</v>
      </c>
      <c r="C21" s="39" t="n">
        <f aca="false">C14*C19</f>
        <v>17.5452710616459</v>
      </c>
      <c r="D21" s="39" t="n">
        <f aca="false">D14*D19</f>
        <v>16.9337080879781</v>
      </c>
      <c r="E21" s="39" t="n">
        <f aca="false">E14*E19</f>
        <v>25.2128451539191</v>
      </c>
      <c r="F21" s="15"/>
    </row>
    <row r="22" customFormat="false" ht="15" hidden="false" customHeight="false" outlineLevel="0" collapsed="false">
      <c r="A22" s="4" t="s">
        <v>504</v>
      </c>
      <c r="B22" s="4" t="s">
        <v>214</v>
      </c>
      <c r="C22" s="39" t="n">
        <f aca="false">C15*C20</f>
        <v>29.8526993898612</v>
      </c>
      <c r="D22" s="39" t="n">
        <f aca="false">D15*D20</f>
        <v>27.7521813115507</v>
      </c>
      <c r="E22" s="39" t="n">
        <f aca="false">E15*E20</f>
        <v>41.9394047480615</v>
      </c>
      <c r="F22" s="15"/>
    </row>
    <row r="23" customFormat="false" ht="15" hidden="false" customHeight="false" outlineLevel="0" collapsed="false">
      <c r="A23" s="5" t="s">
        <v>505</v>
      </c>
      <c r="B23" s="4" t="s">
        <v>214</v>
      </c>
      <c r="C23" s="39" t="n">
        <f aca="false">annual_share*C22+(1-annual_share)*C21</f>
        <v>25.668173758268</v>
      </c>
      <c r="D23" s="39" t="n">
        <f aca="false">annual_share*D22+(1-annual_share)*D21</f>
        <v>24.073900415536</v>
      </c>
      <c r="E23" s="39" t="n">
        <f aca="false">annual_share*E22+(1-annual_share)*E21</f>
        <v>36.2523744860531</v>
      </c>
      <c r="F23" s="15" t="s">
        <v>506</v>
      </c>
    </row>
    <row r="24" customFormat="false" ht="15" hidden="false" customHeight="false" outlineLevel="0" collapsed="false">
      <c r="A24" s="4" t="s">
        <v>507</v>
      </c>
      <c r="B24" s="4" t="s">
        <v>214</v>
      </c>
      <c r="C24" s="39" t="n">
        <f aca="false">annual_share*C11*C20+(1-annual_share)*C10*C19</f>
        <v>26.1680347155432</v>
      </c>
      <c r="D24" s="39" t="n">
        <f aca="false">annual_share*D11*D20+(1-annual_share)*D10*D19</f>
        <v>26.1680347155432</v>
      </c>
      <c r="E24" s="39" t="n">
        <f aca="false">annual_share*E11*E20+(1-annual_share)*E10*E19</f>
        <v>40.9271503703894</v>
      </c>
      <c r="F24" s="15" t="s">
        <v>508</v>
      </c>
    </row>
    <row r="25" customFormat="false" ht="15" hidden="false" customHeight="false" outlineLevel="0" collapsed="false">
      <c r="A25" s="4" t="s">
        <v>509</v>
      </c>
      <c r="B25" s="4" t="s">
        <v>499</v>
      </c>
      <c r="C25" s="40" t="n">
        <f aca="false">annual_share*12*C20+(1-annual_share)*C19</f>
        <v>14.9309613695295</v>
      </c>
      <c r="D25" s="40" t="n">
        <f aca="false">annual_share*12*D20+(1-annual_share)*D19</f>
        <v>14.9309613695295</v>
      </c>
      <c r="E25" s="40" t="n">
        <f aca="false">annual_share*12*E20+(1-annual_share)*E19</f>
        <v>14.9309613695295</v>
      </c>
      <c r="F25" s="15"/>
    </row>
    <row r="26" customFormat="false" ht="15" hidden="false" customHeight="false" outlineLevel="0" collapsed="false">
      <c r="A26" s="5" t="s">
        <v>510</v>
      </c>
      <c r="B26" s="4" t="s">
        <v>214</v>
      </c>
      <c r="C26" s="39" t="n">
        <f aca="false">C23/C25</f>
        <v>1.71912398157098</v>
      </c>
      <c r="D26" s="39" t="n">
        <f aca="false">D23/D25</f>
        <v>1.61234764592353</v>
      </c>
      <c r="E26" s="39" t="n">
        <f aca="false">E23/E25</f>
        <v>2.42800001880894</v>
      </c>
      <c r="F26" s="15" t="s">
        <v>511</v>
      </c>
    </row>
    <row r="27" customFormat="false" ht="15" hidden="false" customHeight="false" outlineLevel="0" collapsed="false">
      <c r="A27" s="5" t="s">
        <v>512</v>
      </c>
      <c r="B27" s="4" t="s">
        <v>214</v>
      </c>
      <c r="C27" s="39" t="n">
        <f aca="false">C26/plans_per_payer</f>
        <v>1.14608265438065</v>
      </c>
      <c r="D27" s="39" t="n">
        <f aca="false">D26/plans_per_payer</f>
        <v>1.07489843061569</v>
      </c>
      <c r="E27" s="39" t="n">
        <f aca="false">E26/plans_per_payer</f>
        <v>1.61866667920596</v>
      </c>
      <c r="F27" s="15"/>
    </row>
    <row r="28" customFormat="false" ht="15" hidden="false" customHeight="false" outlineLevel="0" collapsed="false">
      <c r="A28" s="4" t="s">
        <v>513</v>
      </c>
      <c r="B28" s="4" t="s">
        <v>214</v>
      </c>
      <c r="C28" s="39" t="n">
        <f aca="false">C26-support_min/60*founder_rate</f>
        <v>0.46912398157098</v>
      </c>
      <c r="D28" s="39" t="n">
        <f aca="false">D26-support_min/60*founder_rate</f>
        <v>0.362347645923531</v>
      </c>
      <c r="E28" s="39" t="n">
        <f aca="false">E26-support_min/60*founder_rate</f>
        <v>1.17800001880894</v>
      </c>
      <c r="F28" s="15" t="s">
        <v>514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5" min="2" style="0" width="16"/>
    <col collapsed="false" customWidth="true" hidden="false" outlineLevel="0" max="6" min="6" style="0" width="70"/>
  </cols>
  <sheetData>
    <row r="1" customFormat="false" ht="17.35" hidden="false" customHeight="false" outlineLevel="0" collapsed="false">
      <c r="A1" s="1" t="s">
        <v>515</v>
      </c>
    </row>
    <row r="2" customFormat="false" ht="15" hidden="false" customHeight="false" outlineLevel="0" collapsed="false">
      <c r="A2" s="2" t="s">
        <v>516</v>
      </c>
    </row>
    <row r="4" customFormat="false" ht="15" hidden="false" customHeight="false" outlineLevel="0" collapsed="false">
      <c r="A4" s="6" t="s">
        <v>27</v>
      </c>
      <c r="B4" s="6" t="s">
        <v>58</v>
      </c>
      <c r="C4" s="6" t="s">
        <v>28</v>
      </c>
      <c r="D4" s="6" t="s">
        <v>29</v>
      </c>
      <c r="E4" s="6" t="s">
        <v>30</v>
      </c>
      <c r="F4" s="6" t="s">
        <v>405</v>
      </c>
    </row>
    <row r="5" customFormat="false" ht="15" hidden="false" customHeight="false" outlineLevel="0" collapsed="false">
      <c r="A5" s="12" t="s">
        <v>517</v>
      </c>
      <c r="B5" s="13"/>
      <c r="C5" s="13"/>
      <c r="D5" s="13"/>
      <c r="E5" s="13"/>
      <c r="F5" s="13"/>
    </row>
    <row r="6" customFormat="false" ht="15" hidden="false" customHeight="false" outlineLevel="0" collapsed="false">
      <c r="A6" s="4" t="s">
        <v>518</v>
      </c>
      <c r="B6" s="4" t="s">
        <v>214</v>
      </c>
      <c r="C6" s="8" t="n">
        <f aca="false">trip_fee</f>
        <v>2.99</v>
      </c>
      <c r="D6" s="8" t="n">
        <f aca="false">trip_fee</f>
        <v>2.99</v>
      </c>
      <c r="E6" s="8" t="n">
        <f aca="false">trip_fee</f>
        <v>2.99</v>
      </c>
      <c r="F6" s="15"/>
    </row>
    <row r="7" customFormat="false" ht="15" hidden="false" customHeight="false" outlineLevel="0" collapsed="false">
      <c r="A7" s="4" t="s">
        <v>484</v>
      </c>
      <c r="B7" s="4" t="s">
        <v>73</v>
      </c>
      <c r="C7" s="32" t="n">
        <f aca="false">Costs!C13</f>
        <v>1</v>
      </c>
      <c r="D7" s="32" t="n">
        <f aca="false">Costs!D13</f>
        <v>1</v>
      </c>
      <c r="E7" s="32" t="n">
        <f aca="false">Costs!E13</f>
        <v>0</v>
      </c>
      <c r="F7" s="15"/>
    </row>
    <row r="8" customFormat="false" ht="15" hidden="false" customHeight="false" outlineLevel="0" collapsed="false">
      <c r="A8" s="4" t="s">
        <v>519</v>
      </c>
      <c r="B8" s="4" t="s">
        <v>214</v>
      </c>
      <c r="C8" s="39" t="n">
        <f aca="false">C7*C6*Costs!C22+(1-C7)*(C6/(1+vat_rate*vat_registered)-(C6*stripe_pct+stripe_fixed))</f>
        <v>1.85560301507538</v>
      </c>
      <c r="D8" s="39" t="n">
        <f aca="false">D7*D6*Costs!D22+(1-D7)*(D6/(1+vat_rate*vat_registered)-(D6*stripe_pct+stripe_fixed))</f>
        <v>1.85560301507538</v>
      </c>
      <c r="E8" s="39" t="n">
        <f aca="false">E7*E6*Costs!E22+(1-E7)*(E6/(1+vat_rate*vat_registered)-(E6*stripe_pct+stripe_fixed))</f>
        <v>2.74515</v>
      </c>
      <c r="F8" s="15"/>
    </row>
    <row r="9" customFormat="false" ht="15" hidden="false" customHeight="false" outlineLevel="0" collapsed="false">
      <c r="A9" s="4" t="s">
        <v>520</v>
      </c>
      <c r="B9" s="4" t="s">
        <v>73</v>
      </c>
      <c r="C9" s="37" t="n">
        <f aca="false">stripe_fixed/C6</f>
        <v>0.0668896321070234</v>
      </c>
      <c r="D9" s="37" t="n">
        <f aca="false">stripe_fixed/D6</f>
        <v>0.0668896321070234</v>
      </c>
      <c r="E9" s="37" t="n">
        <f aca="false">stripe_fixed/E6</f>
        <v>0.0668896321070234</v>
      </c>
      <c r="F9" s="15" t="s">
        <v>521</v>
      </c>
    </row>
    <row r="10" customFormat="false" ht="15" hidden="false" customHeight="false" outlineLevel="0" collapsed="false">
      <c r="A10" s="4" t="s">
        <v>450</v>
      </c>
      <c r="B10" s="4" t="s">
        <v>214</v>
      </c>
      <c r="C10" s="7" t="n">
        <f aca="false">Costs!C35</f>
        <v>0.018311902605896</v>
      </c>
      <c r="D10" s="7" t="n">
        <f aca="false">Costs!D35</f>
        <v>0.0862261796961465</v>
      </c>
      <c r="E10" s="7" t="n">
        <f aca="false">Costs!E35</f>
        <v>0.145990743535567</v>
      </c>
      <c r="F10" s="15"/>
    </row>
    <row r="11" customFormat="false" ht="15" hidden="false" customHeight="false" outlineLevel="0" collapsed="false">
      <c r="A11" s="5" t="s">
        <v>512</v>
      </c>
      <c r="B11" s="4" t="s">
        <v>214</v>
      </c>
      <c r="C11" s="39" t="n">
        <f aca="false">C8-C10</f>
        <v>1.83729111246948</v>
      </c>
      <c r="D11" s="39" t="n">
        <f aca="false">D8-D10</f>
        <v>1.76937683537923</v>
      </c>
      <c r="E11" s="39" t="n">
        <f aca="false">E8-E10</f>
        <v>2.59915925646443</v>
      </c>
      <c r="F11" s="15"/>
    </row>
    <row r="12" customFormat="false" ht="15" hidden="false" customHeight="false" outlineLevel="0" collapsed="false">
      <c r="A12" s="4" t="s">
        <v>522</v>
      </c>
      <c r="B12" s="4" t="s">
        <v>523</v>
      </c>
      <c r="C12" s="37" t="n">
        <f aca="false">C11/C6</f>
        <v>0.614478632932937</v>
      </c>
      <c r="D12" s="37" t="n">
        <f aca="false">D11/D6</f>
        <v>0.59176482788603</v>
      </c>
      <c r="E12" s="37" t="n">
        <f aca="false">E11/E6</f>
        <v>0.869284032262352</v>
      </c>
      <c r="F12" s="15"/>
    </row>
    <row r="13" customFormat="false" ht="15" hidden="false" customHeight="false" outlineLevel="0" collapsed="false">
      <c r="A13" s="12" t="s">
        <v>524</v>
      </c>
      <c r="B13" s="13"/>
      <c r="C13" s="13"/>
      <c r="D13" s="13"/>
      <c r="E13" s="13"/>
      <c r="F13" s="13"/>
    </row>
    <row r="14" customFormat="false" ht="15" hidden="false" customHeight="false" outlineLevel="0" collapsed="false">
      <c r="A14" s="4" t="s">
        <v>525</v>
      </c>
      <c r="B14" s="4" t="s">
        <v>214</v>
      </c>
      <c r="C14" s="39" t="n">
        <f aca="false">C11*trips_per_buyer</f>
        <v>7.34916444987792</v>
      </c>
      <c r="D14" s="39" t="n">
        <f aca="false">D11*trips_per_buyer</f>
        <v>7.07750734151692</v>
      </c>
      <c r="E14" s="39" t="n">
        <f aca="false">E11*trips_per_buyer</f>
        <v>10.3966370258577</v>
      </c>
      <c r="F14" s="15" t="s">
        <v>526</v>
      </c>
    </row>
    <row r="15" customFormat="false" ht="15" hidden="false" customHeight="false" outlineLevel="0" collapsed="false">
      <c r="A15" s="4" t="s">
        <v>527</v>
      </c>
      <c r="B15" s="4" t="s">
        <v>342</v>
      </c>
      <c r="C15" s="38" t="n">
        <f aca="false">support_min/60*trips_per_buyer</f>
        <v>0.2</v>
      </c>
      <c r="D15" s="38" t="n">
        <f aca="false">support_min/60*trips_per_buyer</f>
        <v>0.2</v>
      </c>
      <c r="E15" s="38" t="n">
        <f aca="false">support_min/60*trips_per_buyer</f>
        <v>0.2</v>
      </c>
      <c r="F15" s="15" t="s">
        <v>528</v>
      </c>
    </row>
    <row r="16" customFormat="false" ht="15" hidden="false" customHeight="false" outlineLevel="0" collapsed="false">
      <c r="A16" s="4" t="s">
        <v>529</v>
      </c>
      <c r="B16" s="4" t="s">
        <v>214</v>
      </c>
      <c r="C16" s="39" t="n">
        <f aca="false">C14-C15*founder_rate</f>
        <v>2.34916444987792</v>
      </c>
      <c r="D16" s="39" t="n">
        <f aca="false">D14-D15*founder_rate</f>
        <v>2.07750734151692</v>
      </c>
      <c r="E16" s="39" t="n">
        <f aca="false">E14-E15*founder_rate</f>
        <v>5.39663702585773</v>
      </c>
      <c r="F16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5" min="2" style="0" width="16"/>
    <col collapsed="false" customWidth="true" hidden="false" outlineLevel="0" max="6" min="6" style="0" width="70"/>
  </cols>
  <sheetData>
    <row r="1" customFormat="false" ht="17.35" hidden="false" customHeight="false" outlineLevel="0" collapsed="false">
      <c r="A1" s="1" t="s">
        <v>530</v>
      </c>
    </row>
    <row r="2" customFormat="false" ht="15" hidden="false" customHeight="false" outlineLevel="0" collapsed="false">
      <c r="A2" s="2" t="s">
        <v>531</v>
      </c>
    </row>
    <row r="4" customFormat="false" ht="15" hidden="false" customHeight="false" outlineLevel="0" collapsed="false">
      <c r="A4" s="6" t="s">
        <v>27</v>
      </c>
      <c r="B4" s="6" t="s">
        <v>58</v>
      </c>
      <c r="C4" s="6" t="s">
        <v>28</v>
      </c>
      <c r="D4" s="6" t="s">
        <v>29</v>
      </c>
      <c r="E4" s="6" t="s">
        <v>30</v>
      </c>
      <c r="F4" s="6" t="s">
        <v>405</v>
      </c>
    </row>
    <row r="5" customFormat="false" ht="15" hidden="false" customHeight="false" outlineLevel="0" collapsed="false">
      <c r="A5" s="12" t="s">
        <v>532</v>
      </c>
      <c r="B5" s="13"/>
      <c r="C5" s="13"/>
      <c r="D5" s="13"/>
      <c r="E5" s="13"/>
      <c r="F5" s="13"/>
    </row>
    <row r="6" customFormat="false" ht="15" hidden="false" customHeight="false" outlineLevel="0" collapsed="false">
      <c r="A6" s="4" t="s">
        <v>533</v>
      </c>
      <c r="B6" s="4" t="s">
        <v>293</v>
      </c>
      <c r="C6" s="10" t="n">
        <f aca="false">group_size</f>
        <v>5</v>
      </c>
      <c r="D6" s="10" t="n">
        <f aca="false">group_size</f>
        <v>5</v>
      </c>
      <c r="E6" s="10" t="n">
        <f aca="false">group_size</f>
        <v>5</v>
      </c>
      <c r="F6" s="15"/>
    </row>
    <row r="7" customFormat="false" ht="15" hidden="false" customHeight="false" outlineLevel="0" collapsed="false">
      <c r="A7" s="4" t="s">
        <v>534</v>
      </c>
      <c r="B7" s="4" t="s">
        <v>214</v>
      </c>
      <c r="C7" s="8" t="n">
        <f aca="false">group_spend</f>
        <v>40</v>
      </c>
      <c r="D7" s="8" t="n">
        <f aca="false">group_spend</f>
        <v>40</v>
      </c>
      <c r="E7" s="8" t="n">
        <f aca="false">group_spend</f>
        <v>40</v>
      </c>
      <c r="F7" s="15"/>
    </row>
    <row r="8" customFormat="false" ht="15" hidden="false" customHeight="false" outlineLevel="0" collapsed="false">
      <c r="A8" s="4" t="s">
        <v>535</v>
      </c>
      <c r="B8" s="4" t="s">
        <v>214</v>
      </c>
      <c r="C8" s="39" t="n">
        <f aca="false">C6*C7</f>
        <v>200</v>
      </c>
      <c r="D8" s="39" t="n">
        <f aca="false">D6*D7</f>
        <v>200</v>
      </c>
      <c r="E8" s="39" t="n">
        <f aca="false">E6*E7</f>
        <v>200</v>
      </c>
      <c r="F8" s="15" t="s">
        <v>536</v>
      </c>
    </row>
    <row r="9" customFormat="false" ht="15" hidden="false" customHeight="false" outlineLevel="0" collapsed="false">
      <c r="A9" s="4" t="s">
        <v>537</v>
      </c>
      <c r="B9" s="4" t="s">
        <v>214</v>
      </c>
      <c r="C9" s="39" t="n">
        <f aca="false">C8*group_commission/(1+vat_rate*vat_registered)</f>
        <v>20</v>
      </c>
      <c r="D9" s="39" t="n">
        <f aca="false">D8*group_commission/(1+vat_rate*vat_registered)</f>
        <v>20</v>
      </c>
      <c r="E9" s="39" t="n">
        <f aca="false">E8*group_commission/(1+vat_rate*vat_registered)</f>
        <v>20</v>
      </c>
      <c r="F9" s="15"/>
    </row>
    <row r="10" customFormat="false" ht="15" hidden="false" customHeight="false" outlineLevel="0" collapsed="false">
      <c r="A10" s="4" t="s">
        <v>538</v>
      </c>
      <c r="B10" s="4" t="s">
        <v>214</v>
      </c>
      <c r="C10" s="39" t="n">
        <f aca="false">-C9*refund_rate</f>
        <v>-1</v>
      </c>
      <c r="D10" s="39" t="n">
        <f aca="false">-D9*refund_rate</f>
        <v>-1</v>
      </c>
      <c r="E10" s="39" t="n">
        <f aca="false">-E9*refund_rate</f>
        <v>-1</v>
      </c>
      <c r="F10" s="15"/>
    </row>
    <row r="11" customFormat="false" ht="15" hidden="false" customHeight="false" outlineLevel="0" collapsed="false">
      <c r="A11" s="4" t="s">
        <v>539</v>
      </c>
      <c r="B11" s="4" t="s">
        <v>214</v>
      </c>
      <c r="C11" s="39" t="n">
        <f aca="false">-C6*(C7*stripe_pct+stripe_fixed)</f>
        <v>-4</v>
      </c>
      <c r="D11" s="39" t="n">
        <f aca="false">-D6*(D7*stripe_pct+stripe_fixed)</f>
        <v>-4</v>
      </c>
      <c r="E11" s="39" t="n">
        <f aca="false">-E6*(E7*stripe_pct+stripe_fixed)</f>
        <v>-4</v>
      </c>
      <c r="F11" s="15" t="s">
        <v>540</v>
      </c>
    </row>
    <row r="12" customFormat="false" ht="15" hidden="false" customHeight="false" outlineLevel="0" collapsed="false">
      <c r="A12" s="4" t="s">
        <v>541</v>
      </c>
      <c r="B12" s="4" t="s">
        <v>214</v>
      </c>
      <c r="C12" s="36" t="n">
        <f aca="false">-Costs!C35</f>
        <v>-0.018311902605896</v>
      </c>
      <c r="D12" s="36" t="n">
        <f aca="false">-Costs!D35</f>
        <v>-0.0862261796961465</v>
      </c>
      <c r="E12" s="36" t="n">
        <f aca="false">-Costs!E35</f>
        <v>-0.145990743535567</v>
      </c>
      <c r="F12" s="15"/>
    </row>
    <row r="13" customFormat="false" ht="15" hidden="false" customHeight="false" outlineLevel="0" collapsed="false">
      <c r="A13" s="4" t="s">
        <v>542</v>
      </c>
      <c r="B13" s="4" t="s">
        <v>214</v>
      </c>
      <c r="C13" s="36" t="n">
        <f aca="false">-(C6-1)*Costs!C34</f>
        <v>-0</v>
      </c>
      <c r="D13" s="36" t="n">
        <f aca="false">-(D6-1)*Costs!D34</f>
        <v>-0</v>
      </c>
      <c r="E13" s="36" t="n">
        <f aca="false">-(E6-1)*Costs!E34</f>
        <v>-0.239058255357682</v>
      </c>
      <c r="F13" s="15"/>
    </row>
    <row r="14" customFormat="false" ht="15" hidden="false" customHeight="false" outlineLevel="0" collapsed="false">
      <c r="A14" s="5" t="s">
        <v>543</v>
      </c>
      <c r="B14" s="4" t="s">
        <v>214</v>
      </c>
      <c r="C14" s="39" t="n">
        <f aca="false">SUM(C9:C13)</f>
        <v>14.9816880973941</v>
      </c>
      <c r="D14" s="39" t="n">
        <f aca="false">SUM(D9:D13)</f>
        <v>14.9137738203039</v>
      </c>
      <c r="E14" s="39" t="n">
        <f aca="false">SUM(E9:E13)</f>
        <v>14.6149510011068</v>
      </c>
      <c r="F14" s="15"/>
    </row>
    <row r="15" customFormat="false" ht="15" hidden="false" customHeight="false" outlineLevel="0" collapsed="false">
      <c r="A15" s="4" t="s">
        <v>544</v>
      </c>
      <c r="B15" s="4" t="s">
        <v>214</v>
      </c>
      <c r="C15" s="39" t="n">
        <f aca="false">C14/C6</f>
        <v>2.99633761947882</v>
      </c>
      <c r="D15" s="39" t="n">
        <f aca="false">D14/D6</f>
        <v>2.98275476406077</v>
      </c>
      <c r="E15" s="39" t="n">
        <f aca="false">E14/E6</f>
        <v>2.92299020022135</v>
      </c>
      <c r="F15" s="15"/>
    </row>
    <row r="16" customFormat="false" ht="15" hidden="false" customHeight="false" outlineLevel="0" collapsed="false">
      <c r="A16" s="4" t="s">
        <v>545</v>
      </c>
      <c r="B16" s="4" t="s">
        <v>546</v>
      </c>
      <c r="C16" s="37" t="n">
        <f aca="false">C14/C8</f>
        <v>0.0749084404869705</v>
      </c>
      <c r="D16" s="37" t="n">
        <f aca="false">D14/D8</f>
        <v>0.0745688691015193</v>
      </c>
      <c r="E16" s="37" t="n">
        <f aca="false">E14/E8</f>
        <v>0.0730747550055338</v>
      </c>
      <c r="F16" s="15"/>
    </row>
    <row r="17" customFormat="false" ht="15" hidden="false" customHeight="false" outlineLevel="0" collapsed="false">
      <c r="A17" s="4" t="s">
        <v>547</v>
      </c>
      <c r="B17" s="4" t="s">
        <v>342</v>
      </c>
      <c r="C17" s="38" t="n">
        <f aca="false">group_mod_min/60</f>
        <v>0.5</v>
      </c>
      <c r="D17" s="38" t="n">
        <f aca="false">group_mod_min/60</f>
        <v>0.5</v>
      </c>
      <c r="E17" s="38" t="n">
        <f aca="false">group_mod_min/60</f>
        <v>0.5</v>
      </c>
      <c r="F17" s="15"/>
    </row>
    <row r="18" customFormat="false" ht="15" hidden="false" customHeight="false" outlineLevel="0" collapsed="false">
      <c r="A18" s="4" t="s">
        <v>548</v>
      </c>
      <c r="B18" s="4" t="s">
        <v>214</v>
      </c>
      <c r="C18" s="39" t="n">
        <f aca="false">C14-C17*founder_rate</f>
        <v>2.4816880973941</v>
      </c>
      <c r="D18" s="39" t="n">
        <f aca="false">D14-D17*founder_rate</f>
        <v>2.41377382030385</v>
      </c>
      <c r="E18" s="39" t="n">
        <f aca="false">E14-E17*founder_rate</f>
        <v>2.11495100110675</v>
      </c>
      <c r="F18" s="15"/>
    </row>
    <row r="19" customFormat="false" ht="15" hidden="false" customHeight="false" outlineLevel="0" collapsed="false">
      <c r="A19" s="4" t="s">
        <v>549</v>
      </c>
      <c r="B19" s="4" t="s">
        <v>214</v>
      </c>
      <c r="C19" s="39" t="n">
        <f aca="false">C9+C10</f>
        <v>19</v>
      </c>
      <c r="D19" s="39" t="n">
        <f aca="false">D9+D10</f>
        <v>19</v>
      </c>
      <c r="E19" s="39" t="n">
        <f aca="false">E9+E10</f>
        <v>19</v>
      </c>
      <c r="F19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5" min="2" style="0" width="16"/>
    <col collapsed="false" customWidth="true" hidden="false" outlineLevel="0" max="6" min="6" style="0" width="70"/>
  </cols>
  <sheetData>
    <row r="1" customFormat="false" ht="17.35" hidden="false" customHeight="false" outlineLevel="0" collapsed="false">
      <c r="A1" s="1" t="s">
        <v>550</v>
      </c>
    </row>
    <row r="2" customFormat="false" ht="15" hidden="false" customHeight="false" outlineLevel="0" collapsed="false">
      <c r="A2" s="2" t="s">
        <v>551</v>
      </c>
    </row>
    <row r="4" customFormat="false" ht="15" hidden="false" customHeight="false" outlineLevel="0" collapsed="false">
      <c r="A4" s="6" t="s">
        <v>27</v>
      </c>
      <c r="B4" s="6" t="s">
        <v>58</v>
      </c>
      <c r="C4" s="6" t="s">
        <v>28</v>
      </c>
      <c r="D4" s="6" t="s">
        <v>29</v>
      </c>
      <c r="E4" s="6" t="s">
        <v>30</v>
      </c>
      <c r="F4" s="6" t="s">
        <v>405</v>
      </c>
    </row>
    <row r="5" customFormat="false" ht="15" hidden="false" customHeight="false" outlineLevel="0" collapsed="false">
      <c r="A5" s="12" t="s">
        <v>552</v>
      </c>
      <c r="B5" s="13"/>
      <c r="C5" s="13"/>
      <c r="D5" s="13"/>
      <c r="E5" s="13"/>
      <c r="F5" s="13"/>
    </row>
    <row r="6" customFormat="false" ht="15" hidden="false" customHeight="false" outlineLevel="0" collapsed="false">
      <c r="A6" s="4" t="s">
        <v>553</v>
      </c>
      <c r="B6" s="4" t="s">
        <v>73</v>
      </c>
      <c r="C6" s="32" t="n">
        <f aca="false">aff_plan_share</f>
        <v>0.3</v>
      </c>
      <c r="D6" s="32" t="n">
        <f aca="false">aff_plan_share</f>
        <v>0.3</v>
      </c>
      <c r="E6" s="32" t="n">
        <f aca="false">aff_plan_share</f>
        <v>0.3</v>
      </c>
      <c r="F6" s="15"/>
    </row>
    <row r="7" customFormat="false" ht="15" hidden="false" customHeight="false" outlineLevel="0" collapsed="false">
      <c r="A7" s="4" t="s">
        <v>554</v>
      </c>
      <c r="B7" s="4" t="s">
        <v>73</v>
      </c>
      <c r="C7" s="32" t="n">
        <f aca="false">aff_click_book</f>
        <v>0.1</v>
      </c>
      <c r="D7" s="32" t="n">
        <f aca="false">aff_click_book</f>
        <v>0.1</v>
      </c>
      <c r="E7" s="32" t="n">
        <f aca="false">aff_click_book</f>
        <v>0.1</v>
      </c>
      <c r="F7" s="15"/>
    </row>
    <row r="8" customFormat="false" ht="15" hidden="false" customHeight="false" outlineLevel="0" collapsed="false">
      <c r="A8" s="4" t="s">
        <v>555</v>
      </c>
      <c r="B8" s="4" t="s">
        <v>214</v>
      </c>
      <c r="C8" s="8" t="n">
        <f aca="false">aff_ticket</f>
        <v>35</v>
      </c>
      <c r="D8" s="8" t="n">
        <f aca="false">aff_ticket</f>
        <v>35</v>
      </c>
      <c r="E8" s="8" t="n">
        <f aca="false">aff_ticket</f>
        <v>35</v>
      </c>
      <c r="F8" s="15"/>
    </row>
    <row r="9" customFormat="false" ht="15" hidden="false" customHeight="false" outlineLevel="0" collapsed="false">
      <c r="A9" s="4" t="s">
        <v>556</v>
      </c>
      <c r="B9" s="4" t="s">
        <v>73</v>
      </c>
      <c r="C9" s="32" t="n">
        <f aca="false">aff_commission</f>
        <v>0.08</v>
      </c>
      <c r="D9" s="32" t="n">
        <f aca="false">aff_commission</f>
        <v>0.08</v>
      </c>
      <c r="E9" s="32" t="n">
        <f aca="false">aff_commission</f>
        <v>0.08</v>
      </c>
      <c r="F9" s="15" t="s">
        <v>557</v>
      </c>
    </row>
    <row r="10" customFormat="false" ht="15" hidden="false" customHeight="false" outlineLevel="0" collapsed="false">
      <c r="A10" s="4" t="s">
        <v>558</v>
      </c>
      <c r="B10" s="4" t="s">
        <v>214</v>
      </c>
      <c r="C10" s="36" t="n">
        <f aca="false">C6*C7*C8*C9</f>
        <v>0.084</v>
      </c>
      <c r="D10" s="36" t="n">
        <f aca="false">D6*D7*D8*D9</f>
        <v>0.084</v>
      </c>
      <c r="E10" s="36" t="n">
        <f aca="false">E6*E7*E8*E9</f>
        <v>0.084</v>
      </c>
      <c r="F10" s="15"/>
    </row>
    <row r="11" customFormat="false" ht="15" hidden="false" customHeight="false" outlineLevel="0" collapsed="false">
      <c r="A11" s="4" t="s">
        <v>450</v>
      </c>
      <c r="B11" s="4" t="s">
        <v>214</v>
      </c>
      <c r="C11" s="7" t="n">
        <f aca="false">Costs!C35</f>
        <v>0.018311902605896</v>
      </c>
      <c r="D11" s="7" t="n">
        <f aca="false">Costs!D35</f>
        <v>0.0862261796961465</v>
      </c>
      <c r="E11" s="7" t="n">
        <f aca="false">Costs!E35</f>
        <v>0.145990743535567</v>
      </c>
      <c r="F11" s="15"/>
    </row>
    <row r="12" customFormat="false" ht="15" hidden="false" customHeight="false" outlineLevel="0" collapsed="false">
      <c r="A12" s="5" t="s">
        <v>512</v>
      </c>
      <c r="B12" s="4" t="s">
        <v>214</v>
      </c>
      <c r="C12" s="36" t="n">
        <f aca="false">C10-C11</f>
        <v>0.065688097394104</v>
      </c>
      <c r="D12" s="36" t="n">
        <f aca="false">D10-D11</f>
        <v>-0.0022261796961465</v>
      </c>
      <c r="E12" s="36" t="n">
        <f aca="false">E10-E11</f>
        <v>-0.061990743535567</v>
      </c>
      <c r="F12" s="15"/>
    </row>
    <row r="13" customFormat="false" ht="15" hidden="false" customHeight="false" outlineLevel="0" collapsed="false">
      <c r="A13" s="12" t="s">
        <v>559</v>
      </c>
      <c r="B13" s="13"/>
      <c r="C13" s="13"/>
      <c r="D13" s="13"/>
      <c r="E13" s="13"/>
      <c r="F13" s="13"/>
    </row>
    <row r="14" customFormat="false" ht="15" hidden="false" customHeight="false" outlineLevel="0" collapsed="false">
      <c r="A14" s="4" t="s">
        <v>560</v>
      </c>
      <c r="B14" s="4" t="s">
        <v>166</v>
      </c>
      <c r="C14" s="36" t="n">
        <f aca="false">Costs!C40+Costs!C39</f>
        <v>0.00601029561575611</v>
      </c>
      <c r="D14" s="36" t="n">
        <f aca="false">Costs!D40+Costs!D39</f>
        <v>0.0109152156278298</v>
      </c>
      <c r="E14" s="36" t="n">
        <f aca="false">Costs!E40+Costs!E39</f>
        <v>0.0177066433368548</v>
      </c>
      <c r="F14" s="15"/>
    </row>
    <row r="15" customFormat="false" ht="15" hidden="false" customHeight="false" outlineLevel="0" collapsed="false">
      <c r="A15" s="5" t="s">
        <v>561</v>
      </c>
      <c r="B15" s="4" t="s">
        <v>214</v>
      </c>
      <c r="C15" s="36" t="n">
        <f aca="false">mau_plans*C12-C14</f>
        <v>0.0268337530812959</v>
      </c>
      <c r="D15" s="36" t="n">
        <f aca="false">mau_plans*D12-D14</f>
        <v>-0.012028305475903</v>
      </c>
      <c r="E15" s="36" t="n">
        <f aca="false">mau_plans*E12-E14</f>
        <v>-0.0487020151046383</v>
      </c>
      <c r="F15" s="15"/>
    </row>
    <row r="16" customFormat="false" ht="15" hidden="false" customHeight="false" outlineLevel="0" collapsed="false">
      <c r="A16" s="4" t="s">
        <v>562</v>
      </c>
      <c r="B16" s="4" t="s">
        <v>214</v>
      </c>
      <c r="C16" s="39" t="n">
        <f aca="false">C7*C8*C9</f>
        <v>0.28</v>
      </c>
      <c r="D16" s="39" t="n">
        <f aca="false">D7*D8*D9</f>
        <v>0.28</v>
      </c>
      <c r="E16" s="39" t="n">
        <f aca="false">E7*E8*E9</f>
        <v>0.28</v>
      </c>
      <c r="F16" s="15" t="s">
        <v>563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5" min="2" style="0" width="16"/>
    <col collapsed="false" customWidth="true" hidden="false" outlineLevel="0" max="6" min="6" style="0" width="70"/>
  </cols>
  <sheetData>
    <row r="1" customFormat="false" ht="17.35" hidden="false" customHeight="false" outlineLevel="0" collapsed="false">
      <c r="A1" s="1" t="s">
        <v>564</v>
      </c>
    </row>
    <row r="2" customFormat="false" ht="15" hidden="false" customHeight="false" outlineLevel="0" collapsed="false">
      <c r="A2" s="2" t="s">
        <v>565</v>
      </c>
    </row>
    <row r="4" customFormat="false" ht="15" hidden="false" customHeight="false" outlineLevel="0" collapsed="false">
      <c r="A4" s="6" t="s">
        <v>27</v>
      </c>
      <c r="B4" s="6" t="s">
        <v>58</v>
      </c>
      <c r="C4" s="6" t="s">
        <v>28</v>
      </c>
      <c r="D4" s="6" t="s">
        <v>29</v>
      </c>
      <c r="E4" s="6" t="s">
        <v>30</v>
      </c>
      <c r="F4" s="6" t="s">
        <v>405</v>
      </c>
    </row>
    <row r="5" customFormat="false" ht="15" hidden="false" customHeight="false" outlineLevel="0" collapsed="false">
      <c r="A5" s="12" t="s">
        <v>566</v>
      </c>
      <c r="B5" s="13"/>
      <c r="C5" s="13"/>
      <c r="D5" s="13"/>
      <c r="E5" s="13"/>
      <c r="F5" s="13"/>
    </row>
    <row r="6" customFormat="false" ht="15" hidden="false" customHeight="false" outlineLevel="0" collapsed="false">
      <c r="A6" s="4" t="s">
        <v>567</v>
      </c>
      <c r="B6" s="4" t="s">
        <v>214</v>
      </c>
      <c r="C6" s="8" t="n">
        <f aca="false">cpm</f>
        <v>5</v>
      </c>
      <c r="D6" s="8" t="n">
        <f aca="false">cpm</f>
        <v>5</v>
      </c>
      <c r="E6" s="8" t="n">
        <f aca="false">cpm</f>
        <v>5</v>
      </c>
      <c r="F6" s="15"/>
    </row>
    <row r="7" customFormat="false" ht="15" hidden="false" customHeight="false" outlineLevel="0" collapsed="false">
      <c r="A7" s="4" t="s">
        <v>568</v>
      </c>
      <c r="B7" s="4" t="s">
        <v>569</v>
      </c>
      <c r="C7" s="10" t="n">
        <f aca="false">impr_mau</f>
        <v>20</v>
      </c>
      <c r="D7" s="10" t="n">
        <f aca="false">impr_mau</f>
        <v>20</v>
      </c>
      <c r="E7" s="10" t="n">
        <f aca="false">impr_mau</f>
        <v>20</v>
      </c>
      <c r="F7" s="15"/>
    </row>
    <row r="8" customFormat="false" ht="15" hidden="false" customHeight="false" outlineLevel="0" collapsed="false">
      <c r="A8" s="4" t="s">
        <v>570</v>
      </c>
      <c r="B8" s="4" t="s">
        <v>73</v>
      </c>
      <c r="C8" s="32" t="n">
        <f aca="false">fill_rate</f>
        <v>1</v>
      </c>
      <c r="D8" s="32" t="n">
        <f aca="false">fill_rate</f>
        <v>1</v>
      </c>
      <c r="E8" s="32" t="n">
        <f aca="false">fill_rate</f>
        <v>1</v>
      </c>
      <c r="F8" s="15"/>
    </row>
    <row r="9" customFormat="false" ht="15" hidden="false" customHeight="false" outlineLevel="0" collapsed="false">
      <c r="A9" s="4" t="s">
        <v>571</v>
      </c>
      <c r="B9" s="4" t="s">
        <v>214</v>
      </c>
      <c r="C9" s="36" t="n">
        <f aca="false">C6/1000*C7*C8</f>
        <v>0.1</v>
      </c>
      <c r="D9" s="36" t="n">
        <f aca="false">D6/1000*D7*D8</f>
        <v>0.1</v>
      </c>
      <c r="E9" s="36" t="n">
        <f aca="false">E6/1000*E7*E8</f>
        <v>0.1</v>
      </c>
      <c r="F9" s="15"/>
    </row>
    <row r="10" customFormat="false" ht="15" hidden="false" customHeight="false" outlineLevel="0" collapsed="false">
      <c r="A10" s="4" t="s">
        <v>572</v>
      </c>
      <c r="B10" s="4" t="s">
        <v>214</v>
      </c>
      <c r="C10" s="39" t="n">
        <f aca="false">C9*12</f>
        <v>1.2</v>
      </c>
      <c r="D10" s="39" t="n">
        <f aca="false">D9*12</f>
        <v>1.2</v>
      </c>
      <c r="E10" s="39" t="n">
        <f aca="false">E9*12</f>
        <v>1.2</v>
      </c>
      <c r="F10" s="15"/>
    </row>
    <row r="11" customFormat="false" ht="15" hidden="false" customHeight="false" outlineLevel="0" collapsed="false">
      <c r="A11" s="4" t="s">
        <v>573</v>
      </c>
      <c r="B11" s="4" t="s">
        <v>214</v>
      </c>
      <c r="C11" s="36" t="n">
        <f aca="false">mau_plans*Costs!C35+Costs!C40+Costs!C39</f>
        <v>0.0151662469187041</v>
      </c>
      <c r="D11" s="36" t="n">
        <f aca="false">mau_plans*Costs!D35+Costs!D40+Costs!D39</f>
        <v>0.054028305475903</v>
      </c>
      <c r="E11" s="36" t="n">
        <f aca="false">mau_plans*Costs!E35+Costs!E40+Costs!E39</f>
        <v>0.0907020151046383</v>
      </c>
      <c r="F11" s="15"/>
    </row>
    <row r="12" customFormat="false" ht="15" hidden="false" customHeight="false" outlineLevel="0" collapsed="false">
      <c r="A12" s="5" t="s">
        <v>574</v>
      </c>
      <c r="B12" s="4" t="s">
        <v>214</v>
      </c>
      <c r="C12" s="36" t="n">
        <f aca="false">C9-C11</f>
        <v>0.0848337530812959</v>
      </c>
      <c r="D12" s="36" t="n">
        <f aca="false">D9-D11</f>
        <v>0.045971694524097</v>
      </c>
      <c r="E12" s="36" t="n">
        <f aca="false">E9-E11</f>
        <v>0.00929798489536171</v>
      </c>
      <c r="F12" s="15"/>
    </row>
    <row r="13" customFormat="false" ht="15" hidden="false" customHeight="false" outlineLevel="0" collapsed="false">
      <c r="A13" s="5" t="s">
        <v>512</v>
      </c>
      <c r="B13" s="4" t="s">
        <v>214</v>
      </c>
      <c r="C13" s="36" t="n">
        <f aca="false">C12/mau_plans</f>
        <v>0.169667506162592</v>
      </c>
      <c r="D13" s="36" t="n">
        <f aca="false">D12/mau_plans</f>
        <v>0.091943389048194</v>
      </c>
      <c r="E13" s="36" t="n">
        <f aca="false">E12/mau_plans</f>
        <v>0.0185959697907234</v>
      </c>
      <c r="F13" s="15"/>
    </row>
    <row r="14" customFormat="false" ht="15" hidden="false" customHeight="false" outlineLevel="0" collapsed="false">
      <c r="A14" s="12" t="s">
        <v>575</v>
      </c>
      <c r="B14" s="13"/>
      <c r="C14" s="13"/>
      <c r="D14" s="13"/>
      <c r="E14" s="13"/>
      <c r="F14" s="13"/>
    </row>
    <row r="15" customFormat="false" ht="15" hidden="false" customHeight="false" outlineLevel="0" collapsed="false">
      <c r="A15" s="4" t="s">
        <v>576</v>
      </c>
      <c r="B15" s="4" t="s">
        <v>569</v>
      </c>
      <c r="C15" s="41" t="n">
        <f aca="false">100000/(C6/1000)</f>
        <v>20000000</v>
      </c>
      <c r="D15" s="41" t="n">
        <f aca="false">100000/(D6/1000)</f>
        <v>20000000</v>
      </c>
      <c r="E15" s="41" t="n">
        <f aca="false">100000/(E6/1000)</f>
        <v>20000000</v>
      </c>
      <c r="F15" s="15" t="s">
        <v>577</v>
      </c>
    </row>
    <row r="16" customFormat="false" ht="15" hidden="false" customHeight="false" outlineLevel="0" collapsed="false">
      <c r="A16" s="4" t="s">
        <v>578</v>
      </c>
      <c r="B16" s="4" t="s">
        <v>579</v>
      </c>
      <c r="C16" s="41" t="n">
        <f aca="false">C15/(C7*12*C8)</f>
        <v>83333.3333333333</v>
      </c>
      <c r="D16" s="41" t="n">
        <f aca="false">D15/(D7*12*D8)</f>
        <v>83333.3333333333</v>
      </c>
      <c r="E16" s="41" t="n">
        <f aca="false">E15/(E7*12*E8)</f>
        <v>83333.3333333333</v>
      </c>
      <c r="F16" s="15" t="s">
        <v>580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8" min="5" style="0" width="14"/>
    <col collapsed="false" customWidth="true" hidden="false" outlineLevel="0" max="9" min="9" style="0" width="16"/>
    <col collapsed="false" customWidth="true" hidden="false" outlineLevel="0" max="10" min="10" style="0" width="60"/>
  </cols>
  <sheetData>
    <row r="1" customFormat="false" ht="17.35" hidden="false" customHeight="false" outlineLevel="0" collapsed="false">
      <c r="A1" s="1" t="s">
        <v>581</v>
      </c>
    </row>
    <row r="2" customFormat="false" ht="15" hidden="false" customHeight="false" outlineLevel="0" collapsed="false">
      <c r="A2" s="2" t="s">
        <v>582</v>
      </c>
    </row>
    <row r="4" customFormat="false" ht="42" hidden="false" customHeight="true" outlineLevel="0" collapsed="false">
      <c r="A4" s="11" t="s">
        <v>583</v>
      </c>
      <c r="B4" s="11" t="s">
        <v>584</v>
      </c>
      <c r="C4" s="11" t="s">
        <v>585</v>
      </c>
      <c r="D4" s="11" t="s">
        <v>586</v>
      </c>
      <c r="E4" s="11" t="s">
        <v>587</v>
      </c>
      <c r="F4" s="11" t="s">
        <v>588</v>
      </c>
      <c r="G4" s="11" t="s">
        <v>589</v>
      </c>
      <c r="H4" s="11" t="s">
        <v>590</v>
      </c>
      <c r="I4" s="11" t="s">
        <v>591</v>
      </c>
      <c r="J4" s="11" t="s">
        <v>592</v>
      </c>
    </row>
    <row r="5" customFormat="false" ht="15" hidden="false" customHeight="false" outlineLevel="0" collapsed="false">
      <c r="A5" s="4" t="s">
        <v>42</v>
      </c>
      <c r="B5" s="19" t="n">
        <v>0</v>
      </c>
      <c r="C5" s="38" t="n">
        <f aca="false">post_hours/signups_post</f>
        <v>0.1</v>
      </c>
      <c r="D5" s="32" t="n">
        <f aca="false">conv_paid</f>
        <v>0.021</v>
      </c>
      <c r="E5" s="39" t="n">
        <f aca="false">($B5+Costs!C51)/$D5</f>
        <v>3.30540774917473</v>
      </c>
      <c r="F5" s="39" t="n">
        <f aca="false">($B5+Costs!D51)/$D5</f>
        <v>18.0740680053086</v>
      </c>
      <c r="G5" s="39" t="n">
        <f aca="false">($B5+Costs!E51)/$D5</f>
        <v>217.341025014493</v>
      </c>
      <c r="H5" s="40" t="n">
        <f aca="false">C5/D5</f>
        <v>4.76190476190476</v>
      </c>
      <c r="I5" s="39" t="n">
        <f aca="false">F5+H5*founder_rate</f>
        <v>137.121687052928</v>
      </c>
      <c r="J5" s="15" t="s">
        <v>593</v>
      </c>
    </row>
    <row r="6" customFormat="false" ht="15" hidden="false" customHeight="false" outlineLevel="0" collapsed="false">
      <c r="A6" s="4" t="s">
        <v>43</v>
      </c>
      <c r="B6" s="39" t="n">
        <f aca="false">ref_reward*onb_completion</f>
        <v>3.5</v>
      </c>
      <c r="C6" s="42" t="n">
        <v>0</v>
      </c>
      <c r="D6" s="37" t="n">
        <f aca="false">conv_paid*ref_conv_mult</f>
        <v>0.042</v>
      </c>
      <c r="E6" s="39" t="n">
        <f aca="false">($B6+Costs!C51)/$D6</f>
        <v>84.9860372079207</v>
      </c>
      <c r="F6" s="39" t="n">
        <f aca="false">($B6+Costs!D51)/$D6</f>
        <v>92.3703673359876</v>
      </c>
      <c r="G6" s="39" t="n">
        <f aca="false">($B6+Costs!E51)/$D6</f>
        <v>192.00384584058</v>
      </c>
      <c r="H6" s="40" t="n">
        <f aca="false">C6/D6</f>
        <v>0</v>
      </c>
      <c r="I6" s="39" t="n">
        <f aca="false">F6+H6*founder_rate</f>
        <v>92.3703673359876</v>
      </c>
      <c r="J6" s="15" t="s">
        <v>594</v>
      </c>
    </row>
    <row r="7" customFormat="false" ht="15" hidden="false" customHeight="false" outlineLevel="0" collapsed="false">
      <c r="A7" s="4" t="s">
        <v>44</v>
      </c>
      <c r="B7" s="39" t="n">
        <f aca="false">meta_cpc/click_signup</f>
        <v>7.5</v>
      </c>
      <c r="C7" s="42" t="n">
        <v>0</v>
      </c>
      <c r="D7" s="32" t="n">
        <f aca="false">conv_paid</f>
        <v>0.021</v>
      </c>
      <c r="E7" s="39" t="n">
        <f aca="false">($B7+Costs!C51)/$D7</f>
        <v>360.448264892032</v>
      </c>
      <c r="F7" s="39" t="n">
        <f aca="false">($B7+Costs!D51)/$D7</f>
        <v>375.216925148166</v>
      </c>
      <c r="G7" s="39" t="n">
        <f aca="false">($B7+Costs!E51)/$D7</f>
        <v>574.48388215735</v>
      </c>
      <c r="H7" s="40" t="n">
        <f aca="false">C7/D7</f>
        <v>0</v>
      </c>
      <c r="I7" s="39" t="n">
        <f aca="false">F7+H7*founder_rate</f>
        <v>375.216925148166</v>
      </c>
      <c r="J7" s="15" t="s">
        <v>595</v>
      </c>
    </row>
    <row r="8" customFormat="false" ht="15" hidden="false" customHeight="false" outlineLevel="0" collapsed="false">
      <c r="A8" s="4" t="s">
        <v>45</v>
      </c>
      <c r="B8" s="39" t="n">
        <f aca="false">reddit_cpc_usd/fx/click_signup</f>
        <v>7.54603078780561</v>
      </c>
      <c r="C8" s="42" t="n">
        <v>0</v>
      </c>
      <c r="D8" s="32" t="n">
        <f aca="false">conv_paid</f>
        <v>0.021</v>
      </c>
      <c r="E8" s="39" t="n">
        <f aca="false">($B8+Costs!C51)/$D8</f>
        <v>362.64020716849</v>
      </c>
      <c r="F8" s="39" t="n">
        <f aca="false">($B8+Costs!D51)/$D8</f>
        <v>377.408867424624</v>
      </c>
      <c r="G8" s="39" t="n">
        <f aca="false">($B8+Costs!E51)/$D8</f>
        <v>576.675824433808</v>
      </c>
      <c r="H8" s="40" t="n">
        <f aca="false">C8/D8</f>
        <v>0</v>
      </c>
      <c r="I8" s="39" t="n">
        <f aca="false">F8+H8*founder_rate</f>
        <v>377.408867424624</v>
      </c>
      <c r="J8" s="15" t="s">
        <v>596</v>
      </c>
    </row>
    <row r="10" customFormat="false" ht="23.85" hidden="false" customHeight="false" outlineLevel="0" collapsed="false">
      <c r="A10" s="5" t="s">
        <v>597</v>
      </c>
      <c r="F10" s="39" t="n">
        <f aca="false">($B7+Costs!D51)/conv_paywall</f>
        <v>73.6407049356213</v>
      </c>
      <c r="J10" s="15" t="s">
        <v>598</v>
      </c>
    </row>
    <row r="12" customFormat="false" ht="15" hidden="false" customHeight="false" outlineLevel="0" collapsed="false">
      <c r="A12" s="2" t="s">
        <v>599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9" min="2" style="0" width="14"/>
    <col collapsed="false" customWidth="true" hidden="false" outlineLevel="0" max="10" min="10" style="0" width="50"/>
  </cols>
  <sheetData>
    <row r="1" customFormat="false" ht="17.35" hidden="false" customHeight="false" outlineLevel="0" collapsed="false">
      <c r="A1" s="1" t="s">
        <v>600</v>
      </c>
    </row>
    <row r="2" customFormat="false" ht="15" hidden="false" customHeight="false" outlineLevel="0" collapsed="false">
      <c r="A2" s="2" t="s">
        <v>601</v>
      </c>
    </row>
    <row r="4" customFormat="false" ht="15" hidden="false" customHeight="false" outlineLevel="0" collapsed="false">
      <c r="A4" s="6" t="s">
        <v>27</v>
      </c>
      <c r="B4" s="6" t="s">
        <v>28</v>
      </c>
      <c r="C4" s="6" t="s">
        <v>29</v>
      </c>
      <c r="D4" s="6" t="s">
        <v>30</v>
      </c>
    </row>
    <row r="5" customFormat="false" ht="15" hidden="false" customHeight="false" outlineLevel="0" collapsed="false">
      <c r="A5" s="4" t="s">
        <v>602</v>
      </c>
      <c r="B5" s="8" t="n">
        <f aca="false">Subscription!C23</f>
        <v>25.668173758268</v>
      </c>
      <c r="C5" s="8" t="n">
        <f aca="false">Subscription!D23</f>
        <v>24.073900415536</v>
      </c>
      <c r="D5" s="8" t="n">
        <f aca="false">Subscription!E23</f>
        <v>36.2523744860531</v>
      </c>
    </row>
    <row r="6" customFormat="false" ht="15" hidden="false" customHeight="false" outlineLevel="0" collapsed="false">
      <c r="A6" s="4" t="s">
        <v>603</v>
      </c>
      <c r="B6" s="8" t="n">
        <f aca="false">Subscription!C26</f>
        <v>1.71912398157098</v>
      </c>
      <c r="C6" s="8" t="n">
        <f aca="false">Subscription!D26</f>
        <v>1.61234764592353</v>
      </c>
      <c r="D6" s="8" t="n">
        <f aca="false">Subscription!E26</f>
        <v>2.42800001880894</v>
      </c>
    </row>
    <row r="8" customFormat="false" ht="15" hidden="false" customHeight="false" outlineLevel="0" collapsed="false">
      <c r="A8" s="3" t="s">
        <v>604</v>
      </c>
    </row>
    <row r="9" customFormat="false" ht="23.85" hidden="false" customHeight="false" outlineLevel="0" collapsed="false">
      <c r="A9" s="11" t="s">
        <v>583</v>
      </c>
      <c r="B9" s="11" t="s">
        <v>28</v>
      </c>
      <c r="C9" s="11" t="s">
        <v>29</v>
      </c>
      <c r="D9" s="11" t="s">
        <v>30</v>
      </c>
      <c r="E9" s="11" t="s">
        <v>605</v>
      </c>
      <c r="F9" s="11" t="s">
        <v>606</v>
      </c>
    </row>
    <row r="10" customFormat="false" ht="15" hidden="false" customHeight="false" outlineLevel="0" collapsed="false">
      <c r="A10" s="4" t="s">
        <v>42</v>
      </c>
      <c r="B10" s="43" t="n">
        <f aca="false">B$5/CAC!E5</f>
        <v>7.76550904035264</v>
      </c>
      <c r="C10" s="43" t="n">
        <f aca="false">C$5/CAC!F5</f>
        <v>1.33195805219197</v>
      </c>
      <c r="D10" s="43" t="n">
        <f aca="false">D$5/CAC!G5</f>
        <v>0.166799500847277</v>
      </c>
      <c r="E10" s="40" t="n">
        <f aca="false">IF(C$6&gt;0,CAC!F5/C$6,"never")</f>
        <v>11.2097834800112</v>
      </c>
      <c r="F10" s="4" t="str">
        <f aca="false">IF(C10&gt;=ltv_cac_target,"meets","below")</f>
        <v>below</v>
      </c>
    </row>
    <row r="11" customFormat="false" ht="15" hidden="false" customHeight="false" outlineLevel="0" collapsed="false">
      <c r="A11" s="4" t="s">
        <v>43</v>
      </c>
      <c r="B11" s="43" t="n">
        <f aca="false">B$5/CAC!E6</f>
        <v>0.302028128402671</v>
      </c>
      <c r="C11" s="43" t="n">
        <f aca="false">C$5/CAC!F6</f>
        <v>0.26062362974015</v>
      </c>
      <c r="D11" s="43" t="n">
        <f aca="false">D$5/CAC!G6</f>
        <v>0.188810668491262</v>
      </c>
      <c r="E11" s="40" t="n">
        <f aca="false">IF(C$6&gt;0,CAC!F6/C$6,"never")</f>
        <v>57.2893616147398</v>
      </c>
      <c r="F11" s="4" t="str">
        <f aca="false">IF(C11&gt;=ltv_cac_target,"meets","below")</f>
        <v>below</v>
      </c>
    </row>
    <row r="12" customFormat="false" ht="15" hidden="false" customHeight="false" outlineLevel="0" collapsed="false">
      <c r="A12" s="4" t="s">
        <v>44</v>
      </c>
      <c r="B12" s="43" t="n">
        <f aca="false">B$5/CAC!E7</f>
        <v>0.0712118111206795</v>
      </c>
      <c r="C12" s="43" t="n">
        <f aca="false">C$5/CAC!F7</f>
        <v>0.0641599533550619</v>
      </c>
      <c r="D12" s="43" t="n">
        <f aca="false">D$5/CAC!G7</f>
        <v>0.0631042499398158</v>
      </c>
      <c r="E12" s="40" t="n">
        <f aca="false">IF(C$6&gt;0,CAC!F7/C$6,"never")</f>
        <v>232.714654371729</v>
      </c>
      <c r="F12" s="4" t="str">
        <f aca="false">IF(C12&gt;=ltv_cac_target,"meets","below")</f>
        <v>below</v>
      </c>
    </row>
    <row r="13" customFormat="false" ht="15" hidden="false" customHeight="false" outlineLevel="0" collapsed="false">
      <c r="A13" s="4" t="s">
        <v>45</v>
      </c>
      <c r="B13" s="43" t="n">
        <f aca="false">B$5/CAC!E8</f>
        <v>0.070781378487196</v>
      </c>
      <c r="C13" s="43" t="n">
        <f aca="false">C$5/CAC!F8</f>
        <v>0.0637873205783754</v>
      </c>
      <c r="D13" s="43" t="n">
        <f aca="false">D$5/CAC!G8</f>
        <v>0.0628643909628888</v>
      </c>
      <c r="E13" s="40" t="n">
        <f aca="false">IF(C$6&gt;0,CAC!F8/C$6,"never")</f>
        <v>234.074126866386</v>
      </c>
      <c r="F13" s="4" t="str">
        <f aca="false">IF(C13&gt;=ltv_cac_target,"meets","below")</f>
        <v>below</v>
      </c>
    </row>
    <row r="14" customFormat="false" ht="15" hidden="false" customHeight="false" outlineLevel="0" collapsed="false">
      <c r="A14" s="4" t="s">
        <v>607</v>
      </c>
      <c r="C14" s="43" t="n">
        <f aca="false">C5/CAC!F10</f>
        <v>0.32691023852341</v>
      </c>
      <c r="E14" s="40" t="n">
        <f aca="false">IF(C$6&gt;0,CAC!F10/C$6,"never")</f>
        <v>45.6729695495917</v>
      </c>
      <c r="F14" s="4" t="str">
        <f aca="false">IF(C14&gt;=ltv_cac_target,"meets","below")</f>
        <v>below</v>
      </c>
    </row>
    <row r="17" customFormat="false" ht="15" hidden="false" customHeight="false" outlineLevel="0" collapsed="false">
      <c r="A17" s="3" t="s">
        <v>608</v>
      </c>
    </row>
    <row r="18" customFormat="false" ht="23.85" hidden="false" customHeight="false" outlineLevel="0" collapsed="false">
      <c r="A18" s="11" t="s">
        <v>385</v>
      </c>
      <c r="B18" s="11" t="s">
        <v>609</v>
      </c>
      <c r="C18" s="11" t="s">
        <v>610</v>
      </c>
      <c r="D18" s="11" t="s">
        <v>611</v>
      </c>
      <c r="E18" s="11" t="s">
        <v>612</v>
      </c>
    </row>
    <row r="19" customFormat="false" ht="15" hidden="false" customHeight="false" outlineLevel="0" collapsed="false">
      <c r="A19" s="4" t="s">
        <v>47</v>
      </c>
      <c r="B19" s="39" t="n">
        <f aca="false">conv_paid*Subscription!D23</f>
        <v>0.505551908726257</v>
      </c>
      <c r="C19" s="39" t="n">
        <f aca="false">(CAC!$B$7+Costs!$D$51)</f>
        <v>7.87955542811148</v>
      </c>
      <c r="D19" s="43" t="n">
        <f aca="false">B19/C19</f>
        <v>0.0641599533550619</v>
      </c>
      <c r="E19" s="4" t="s">
        <v>613</v>
      </c>
    </row>
    <row r="20" customFormat="false" ht="15" hidden="false" customHeight="false" outlineLevel="0" collapsed="false">
      <c r="A20" s="4" t="s">
        <v>48</v>
      </c>
      <c r="B20" s="39" t="n">
        <f aca="false">trip_buyer_share*PerTrip!D14</f>
        <v>0.353875367075846</v>
      </c>
      <c r="C20" s="39" t="n">
        <f aca="false">(CAC!$B$7+Costs!$D$51)</f>
        <v>7.87955542811148</v>
      </c>
      <c r="D20" s="43" t="n">
        <f aca="false">B20/C20</f>
        <v>0.0449105752608</v>
      </c>
      <c r="E20" s="4" t="s">
        <v>614</v>
      </c>
    </row>
    <row r="21" customFormat="false" ht="15" hidden="false" customHeight="false" outlineLevel="0" collapsed="false">
      <c r="A21" s="4" t="s">
        <v>49</v>
      </c>
      <c r="B21" s="39" t="n">
        <f aca="false">group_member_share*group_trips_member*GroupTrip!D15</f>
        <v>0.894826429218231</v>
      </c>
      <c r="C21" s="39" t="n">
        <f aca="false">(CAC!$B$7+Costs!$D$51)</f>
        <v>7.87955542811148</v>
      </c>
      <c r="D21" s="43" t="n">
        <f aca="false">B21/C21</f>
        <v>0.11356306042671</v>
      </c>
      <c r="E21" s="4" t="s">
        <v>615</v>
      </c>
    </row>
    <row r="22" customFormat="false" ht="15" hidden="false" customHeight="false" outlineLevel="0" collapsed="false">
      <c r="A22" s="4" t="s">
        <v>50</v>
      </c>
      <c r="B22" s="39" t="n">
        <f aca="false">mau_per_signup*12*Affiliate!D15</f>
        <v>-0.036084916427709</v>
      </c>
      <c r="C22" s="39" t="n">
        <f aca="false">(CAC!$B$7+Costs!$D$51)</f>
        <v>7.87955542811148</v>
      </c>
      <c r="D22" s="43" t="n">
        <f aca="false">B22/C22</f>
        <v>-0.00457956248381359</v>
      </c>
      <c r="E22" s="4" t="s">
        <v>616</v>
      </c>
    </row>
    <row r="23" customFormat="false" ht="15" hidden="false" customHeight="false" outlineLevel="0" collapsed="false">
      <c r="A23" s="4" t="s">
        <v>52</v>
      </c>
      <c r="B23" s="39" t="n">
        <f aca="false">mau_per_signup*12*Promoted!D12</f>
        <v>0.137915083572291</v>
      </c>
      <c r="C23" s="39" t="n">
        <f aca="false">(CAC!$B$7+Costs!$D$51)</f>
        <v>7.87955542811148</v>
      </c>
      <c r="D23" s="43" t="n">
        <f aca="false">B23/C23</f>
        <v>0.0175029016332899</v>
      </c>
      <c r="E23" s="4" t="s">
        <v>616</v>
      </c>
    </row>
    <row r="25" customFormat="false" ht="15" hidden="false" customHeight="false" outlineLevel="0" collapsed="false">
      <c r="A25" s="2" t="s">
        <v>617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4" min="2" style="0" width="16"/>
    <col collapsed="false" customWidth="true" hidden="false" outlineLevel="0" max="5" min="5" style="0" width="4"/>
    <col collapsed="false" customWidth="true" hidden="false" outlineLevel="0" max="6" min="6" style="0" width="60"/>
    <col collapsed="false" customWidth="true" hidden="false" outlineLevel="0" max="7" min="7" style="0" width="10"/>
  </cols>
  <sheetData>
    <row r="1" customFormat="false" ht="17.35" hidden="false" customHeight="false" outlineLevel="0" collapsed="false">
      <c r="A1" s="1" t="s">
        <v>618</v>
      </c>
    </row>
    <row r="2" customFormat="false" ht="15" hidden="false" customHeight="false" outlineLevel="0" collapsed="false">
      <c r="A2" s="2" t="s">
        <v>619</v>
      </c>
    </row>
    <row r="4" customFormat="false" ht="15" hidden="false" customHeight="false" outlineLevel="0" collapsed="false">
      <c r="A4" s="3" t="s">
        <v>620</v>
      </c>
    </row>
    <row r="5" customFormat="false" ht="15" hidden="false" customHeight="false" outlineLevel="0" collapsed="false">
      <c r="A5" s="6" t="s">
        <v>27</v>
      </c>
      <c r="B5" s="6" t="s">
        <v>28</v>
      </c>
      <c r="C5" s="6" t="s">
        <v>29</v>
      </c>
      <c r="D5" s="6" t="s">
        <v>30</v>
      </c>
    </row>
    <row r="6" customFormat="false" ht="15" hidden="false" customHeight="false" outlineLevel="0" collapsed="false">
      <c r="A6" s="4" t="s">
        <v>34</v>
      </c>
      <c r="B6" s="8" t="n">
        <f aca="false">Costs!C49</f>
        <v>15.1431733574806</v>
      </c>
      <c r="C6" s="8" t="n">
        <f aca="false">Costs!D49</f>
        <v>24.9530133816279</v>
      </c>
      <c r="D6" s="8" t="n">
        <f aca="false">Costs!E49</f>
        <v>83.0574504477312</v>
      </c>
    </row>
    <row r="7" customFormat="false" ht="15" hidden="false" customHeight="false" outlineLevel="0" collapsed="false">
      <c r="A7" s="4" t="s">
        <v>621</v>
      </c>
      <c r="B7" s="41" t="n">
        <f aca="false">IF(Subscription!C26&gt;0,ROUNDUP(B6/Subscription!C26,0),"never")</f>
        <v>9</v>
      </c>
      <c r="C7" s="41" t="n">
        <f aca="false">IF(Subscription!D26&gt;0,ROUNDUP(C6/Subscription!D26,0),"never")</f>
        <v>16</v>
      </c>
      <c r="D7" s="41" t="n">
        <f aca="false">IF(Subscription!E26&gt;0,ROUNDUP(D6/Subscription!E26,0),"never")</f>
        <v>35</v>
      </c>
      <c r="F7" s="2" t="s">
        <v>622</v>
      </c>
    </row>
    <row r="8" customFormat="false" ht="15" hidden="false" customHeight="false" outlineLevel="0" collapsed="false">
      <c r="A8" s="4" t="s">
        <v>623</v>
      </c>
      <c r="B8" s="41" t="n">
        <f aca="false">IF(PerTrip!C11&gt;0,ROUNDUP(B6/PerTrip!C11,0),"never")</f>
        <v>9</v>
      </c>
      <c r="C8" s="41" t="n">
        <f aca="false">IF(PerTrip!D11&gt;0,ROUNDUP(C6/PerTrip!D11,0),"never")</f>
        <v>15</v>
      </c>
      <c r="D8" s="41" t="n">
        <f aca="false">IF(PerTrip!E11&gt;0,ROUNDUP(D6/PerTrip!E11,0),"never")</f>
        <v>32</v>
      </c>
    </row>
    <row r="9" customFormat="false" ht="15" hidden="false" customHeight="false" outlineLevel="0" collapsed="false">
      <c r="A9" s="4" t="s">
        <v>624</v>
      </c>
      <c r="B9" s="41" t="n">
        <f aca="false">IF(GroupTrip!C14&gt;0,ROUNDUP(B6/GroupTrip!C14,0),"never")</f>
        <v>2</v>
      </c>
      <c r="C9" s="41" t="n">
        <f aca="false">IF(GroupTrip!D14&gt;0,ROUNDUP(C6/GroupTrip!D14,0),"never")</f>
        <v>2</v>
      </c>
      <c r="D9" s="41" t="n">
        <f aca="false">IF(GroupTrip!E14&gt;0,ROUNDUP(D6/GroupTrip!E14,0),"never")</f>
        <v>6</v>
      </c>
    </row>
    <row r="10" customFormat="false" ht="15" hidden="false" customHeight="false" outlineLevel="0" collapsed="false">
      <c r="A10" s="4" t="s">
        <v>625</v>
      </c>
      <c r="B10" s="41" t="n">
        <f aca="false">IF(Affiliate!C15&gt;0,ROUNDUP(B6/Affiliate!C15,0),"never")</f>
        <v>565</v>
      </c>
      <c r="C10" s="41" t="str">
        <f aca="false">IF(Affiliate!D15&gt;0,ROUNDUP(C6/Affiliate!D15,0),"never")</f>
        <v>never</v>
      </c>
      <c r="D10" s="41" t="str">
        <f aca="false">IF(Affiliate!E15&gt;0,ROUNDUP(D6/Affiliate!E15,0),"never")</f>
        <v>never</v>
      </c>
    </row>
    <row r="11" customFormat="false" ht="15" hidden="false" customHeight="false" outlineLevel="0" collapsed="false">
      <c r="A11" s="4" t="s">
        <v>626</v>
      </c>
      <c r="B11" s="41" t="n">
        <f aca="false">IF(Promoted!C12&gt;0,ROUNDUP(B6/Promoted!C12,0),"never")</f>
        <v>179</v>
      </c>
      <c r="C11" s="41" t="n">
        <f aca="false">IF(Promoted!D12&gt;0,ROUNDUP(C6/Promoted!D12,0),"never")</f>
        <v>543</v>
      </c>
      <c r="D11" s="41" t="n">
        <f aca="false">IF(Promoted!E12&gt;0,ROUNDUP(D6/Promoted!E12,0),"never")</f>
        <v>8933</v>
      </c>
    </row>
    <row r="13" customFormat="false" ht="15" hidden="false" customHeight="false" outlineLevel="0" collapsed="false">
      <c r="A13" s="4" t="s">
        <v>627</v>
      </c>
      <c r="B13" s="39" t="n">
        <f aca="false">CAC!B7+Costs!D51</f>
        <v>7.87955542811148</v>
      </c>
    </row>
    <row r="14" customFormat="false" ht="15" hidden="false" customHeight="false" outlineLevel="0" collapsed="false">
      <c r="A14" s="3" t="s">
        <v>628</v>
      </c>
    </row>
    <row r="15" customFormat="false" ht="15" hidden="false" customHeight="false" outlineLevel="0" collapsed="false">
      <c r="A15" s="6" t="s">
        <v>629</v>
      </c>
      <c r="B15" s="44" t="n">
        <v>10000</v>
      </c>
      <c r="C15" s="44" t="n">
        <v>50000</v>
      </c>
      <c r="D15" s="44" t="n">
        <v>100000</v>
      </c>
      <c r="F15" s="2" t="s">
        <v>630</v>
      </c>
    </row>
    <row r="16" customFormat="false" ht="15" hidden="false" customHeight="false" outlineLevel="0" collapsed="false">
      <c r="A16" s="12" t="s">
        <v>47</v>
      </c>
      <c r="B16" s="13"/>
      <c r="C16" s="13"/>
      <c r="D16" s="13"/>
    </row>
    <row r="17" customFormat="false" ht="15" hidden="false" customHeight="false" outlineLevel="0" collapsed="false">
      <c r="A17" s="4" t="s">
        <v>631</v>
      </c>
      <c r="B17" s="41" t="n">
        <f aca="false">B$15/Subscription!$D$24</f>
        <v>382.145625711061</v>
      </c>
      <c r="C17" s="41" t="n">
        <f aca="false">C$15/Subscription!$D$24</f>
        <v>1910.7281285553</v>
      </c>
      <c r="D17" s="41" t="n">
        <f aca="false">D$15/Subscription!$D$24</f>
        <v>3821.45625711061</v>
      </c>
      <c r="F17" s="15" t="s">
        <v>632</v>
      </c>
    </row>
    <row r="18" customFormat="false" ht="15" hidden="false" customHeight="false" outlineLevel="0" collapsed="false">
      <c r="A18" s="4" t="s">
        <v>633</v>
      </c>
      <c r="B18" s="41" t="n">
        <f aca="false">B17/conv_paid</f>
        <v>18197.4107481458</v>
      </c>
      <c r="C18" s="41" t="n">
        <f aca="false">C17/conv_paid</f>
        <v>90987.0537407288</v>
      </c>
      <c r="D18" s="41" t="n">
        <f aca="false">D17/conv_paid</f>
        <v>181974.107481458</v>
      </c>
      <c r="F18" s="15"/>
    </row>
    <row r="19" customFormat="false" ht="15" hidden="false" customHeight="false" outlineLevel="0" collapsed="false">
      <c r="A19" s="4" t="s">
        <v>634</v>
      </c>
      <c r="B19" s="41" t="n">
        <f aca="false">B17*Subscription!$D$25/12</f>
        <v>475.483464585544</v>
      </c>
      <c r="C19" s="41" t="n">
        <f aca="false">C17*Subscription!$D$25/12</f>
        <v>2377.41732292772</v>
      </c>
      <c r="D19" s="41" t="n">
        <f aca="false">D17*Subscription!$D$25/12</f>
        <v>4754.83464585544</v>
      </c>
      <c r="F19" s="15"/>
    </row>
    <row r="20" customFormat="false" ht="15" hidden="false" customHeight="false" outlineLevel="0" collapsed="false">
      <c r="A20" s="4" t="s">
        <v>635</v>
      </c>
      <c r="B20" s="45" t="n">
        <f aca="false">B18*$B$13</f>
        <v>143387.506638126</v>
      </c>
      <c r="C20" s="45" t="n">
        <f aca="false">C18*$B$13</f>
        <v>716937.53319063</v>
      </c>
      <c r="D20" s="45" t="n">
        <f aca="false">D18*$B$13</f>
        <v>1433875.06638126</v>
      </c>
      <c r="F20" s="15" t="s">
        <v>636</v>
      </c>
    </row>
    <row r="21" customFormat="false" ht="15" hidden="false" customHeight="false" outlineLevel="0" collapsed="false">
      <c r="A21" s="4" t="s">
        <v>637</v>
      </c>
      <c r="B21" s="41" t="n">
        <f aca="false">B18*post_hours/signups_post</f>
        <v>1819.74107481458</v>
      </c>
      <c r="C21" s="41" t="n">
        <f aca="false">C18*post_hours/signups_post</f>
        <v>9098.70537407288</v>
      </c>
      <c r="D21" s="41" t="n">
        <f aca="false">D18*post_hours/signups_post</f>
        <v>18197.4107481458</v>
      </c>
      <c r="F21" s="15" t="s">
        <v>638</v>
      </c>
    </row>
    <row r="22" customFormat="false" ht="15" hidden="false" customHeight="false" outlineLevel="0" collapsed="false">
      <c r="A22" s="12" t="s">
        <v>48</v>
      </c>
      <c r="B22" s="13"/>
      <c r="C22" s="13"/>
      <c r="D22" s="13"/>
    </row>
    <row r="23" customFormat="false" ht="15" hidden="false" customHeight="false" outlineLevel="0" collapsed="false">
      <c r="A23" s="4" t="s">
        <v>639</v>
      </c>
      <c r="B23" s="41" t="n">
        <f aca="false">B$15/PerTrip!$D$8</f>
        <v>5389.08372036343</v>
      </c>
      <c r="C23" s="41" t="n">
        <f aca="false">C$15/PerTrip!$D$8</f>
        <v>26945.4186018171</v>
      </c>
      <c r="D23" s="41" t="n">
        <f aca="false">D$15/PerTrip!$D$8</f>
        <v>53890.8372036343</v>
      </c>
      <c r="F23" s="15"/>
    </row>
    <row r="24" customFormat="false" ht="15" hidden="false" customHeight="false" outlineLevel="0" collapsed="false">
      <c r="A24" s="4" t="s">
        <v>640</v>
      </c>
      <c r="B24" s="41" t="n">
        <f aca="false">B23/trips_per_buyer</f>
        <v>1347.27093009086</v>
      </c>
      <c r="C24" s="41" t="n">
        <f aca="false">C23/trips_per_buyer</f>
        <v>6736.35465045428</v>
      </c>
      <c r="D24" s="41" t="n">
        <f aca="false">D23/trips_per_buyer</f>
        <v>13472.7093009086</v>
      </c>
      <c r="F24" s="15"/>
    </row>
    <row r="25" customFormat="false" ht="15" hidden="false" customHeight="false" outlineLevel="0" collapsed="false">
      <c r="A25" s="4" t="s">
        <v>633</v>
      </c>
      <c r="B25" s="41" t="n">
        <f aca="false">B24/trip_buyer_share</f>
        <v>26945.4186018171</v>
      </c>
      <c r="C25" s="41" t="n">
        <f aca="false">C24/trip_buyer_share</f>
        <v>134727.093009086</v>
      </c>
      <c r="D25" s="41" t="n">
        <f aca="false">D24/trip_buyer_share</f>
        <v>269454.186018171</v>
      </c>
      <c r="F25" s="15" t="s">
        <v>641</v>
      </c>
    </row>
    <row r="26" customFormat="false" ht="15" hidden="false" customHeight="false" outlineLevel="0" collapsed="false">
      <c r="A26" s="12" t="s">
        <v>49</v>
      </c>
      <c r="B26" s="13"/>
      <c r="C26" s="13"/>
      <c r="D26" s="13"/>
    </row>
    <row r="27" customFormat="false" ht="15" hidden="false" customHeight="false" outlineLevel="0" collapsed="false">
      <c r="A27" s="4" t="s">
        <v>642</v>
      </c>
      <c r="B27" s="41" t="n">
        <f aca="false">B$15/GroupTrip!$D$19</f>
        <v>526.315789473684</v>
      </c>
      <c r="C27" s="41" t="n">
        <f aca="false">C$15/GroupTrip!$D$19</f>
        <v>2631.57894736842</v>
      </c>
      <c r="D27" s="41" t="n">
        <f aca="false">D$15/GroupTrip!$D$19</f>
        <v>5263.15789473684</v>
      </c>
      <c r="F27" s="15"/>
    </row>
    <row r="28" customFormat="false" ht="15" hidden="false" customHeight="false" outlineLevel="0" collapsed="false">
      <c r="A28" s="4" t="s">
        <v>643</v>
      </c>
      <c r="B28" s="41" t="n">
        <f aca="false">B27*group_size</f>
        <v>2631.57894736842</v>
      </c>
      <c r="C28" s="41" t="n">
        <f aca="false">C27*group_size</f>
        <v>13157.8947368421</v>
      </c>
      <c r="D28" s="41" t="n">
        <f aca="false">D27*group_size</f>
        <v>26315.7894736842</v>
      </c>
      <c r="F28" s="15"/>
    </row>
    <row r="29" customFormat="false" ht="15" hidden="false" customHeight="false" outlineLevel="0" collapsed="false">
      <c r="A29" s="4" t="s">
        <v>644</v>
      </c>
      <c r="B29" s="41" t="n">
        <f aca="false">B28/group_trips_member</f>
        <v>877.19298245614</v>
      </c>
      <c r="C29" s="41" t="n">
        <f aca="false">C28/group_trips_member</f>
        <v>4385.9649122807</v>
      </c>
      <c r="D29" s="41" t="n">
        <f aca="false">D28/group_trips_member</f>
        <v>8771.92982456141</v>
      </c>
      <c r="F29" s="15"/>
    </row>
    <row r="30" customFormat="false" ht="15" hidden="false" customHeight="false" outlineLevel="0" collapsed="false">
      <c r="A30" s="4" t="s">
        <v>633</v>
      </c>
      <c r="B30" s="41" t="n">
        <f aca="false">B29/group_member_share</f>
        <v>8771.9298245614</v>
      </c>
      <c r="C30" s="41" t="n">
        <f aca="false">C29/group_member_share</f>
        <v>43859.649122807</v>
      </c>
      <c r="D30" s="41" t="n">
        <f aca="false">D29/group_member_share</f>
        <v>87719.2982456141</v>
      </c>
      <c r="F30" s="15"/>
    </row>
    <row r="31" customFormat="false" ht="15" hidden="false" customHeight="false" outlineLevel="0" collapsed="false">
      <c r="A31" s="4" t="s">
        <v>645</v>
      </c>
      <c r="B31" s="41" t="n">
        <f aca="false">B27*group_mod_min/60</f>
        <v>263.157894736842</v>
      </c>
      <c r="C31" s="41" t="n">
        <f aca="false">C27*group_mod_min/60</f>
        <v>1315.78947368421</v>
      </c>
      <c r="D31" s="41" t="n">
        <f aca="false">D27*group_mod_min/60</f>
        <v>2631.57894736842</v>
      </c>
      <c r="F31" s="15"/>
    </row>
    <row r="32" customFormat="false" ht="15" hidden="false" customHeight="false" outlineLevel="0" collapsed="false">
      <c r="A32" s="12" t="s">
        <v>50</v>
      </c>
      <c r="B32" s="13"/>
      <c r="C32" s="13"/>
      <c r="D32" s="13"/>
    </row>
    <row r="33" customFormat="false" ht="15" hidden="false" customHeight="false" outlineLevel="0" collapsed="false">
      <c r="A33" s="4" t="s">
        <v>646</v>
      </c>
      <c r="B33" s="41" t="n">
        <f aca="false">B$15/Affiliate!$D$10</f>
        <v>119047.619047619</v>
      </c>
      <c r="C33" s="41" t="n">
        <f aca="false">C$15/Affiliate!$D$10</f>
        <v>595238.095238095</v>
      </c>
      <c r="D33" s="41" t="n">
        <f aca="false">D$15/Affiliate!$D$10</f>
        <v>1190476.19047619</v>
      </c>
      <c r="F33" s="15"/>
    </row>
    <row r="34" customFormat="false" ht="15" hidden="false" customHeight="false" outlineLevel="0" collapsed="false">
      <c r="A34" s="4" t="s">
        <v>647</v>
      </c>
      <c r="B34" s="41" t="n">
        <f aca="false">B33/(mau_plans*12)</f>
        <v>19841.2698412698</v>
      </c>
      <c r="C34" s="41" t="n">
        <f aca="false">C33/(mau_plans*12)</f>
        <v>99206.3492063492</v>
      </c>
      <c r="D34" s="41" t="n">
        <f aca="false">D33/(mau_plans*12)</f>
        <v>198412.698412698</v>
      </c>
      <c r="F34" s="15"/>
    </row>
    <row r="35" customFormat="false" ht="15" hidden="false" customHeight="false" outlineLevel="0" collapsed="false">
      <c r="A35" s="4" t="s">
        <v>648</v>
      </c>
      <c r="B35" s="41" t="n">
        <f aca="false">B34/mau_per_signup</f>
        <v>79365.0793650794</v>
      </c>
      <c r="C35" s="41" t="n">
        <f aca="false">C34/mau_per_signup</f>
        <v>396825.396825397</v>
      </c>
      <c r="D35" s="41" t="n">
        <f aca="false">D34/mau_per_signup</f>
        <v>793650.793650794</v>
      </c>
      <c r="F35" s="15"/>
    </row>
    <row r="36" customFormat="false" ht="15" hidden="false" customHeight="false" outlineLevel="0" collapsed="false">
      <c r="A36" s="12" t="s">
        <v>52</v>
      </c>
      <c r="B36" s="13"/>
      <c r="C36" s="13"/>
      <c r="D36" s="13"/>
    </row>
    <row r="37" customFormat="false" ht="15" hidden="false" customHeight="false" outlineLevel="0" collapsed="false">
      <c r="A37" s="4" t="s">
        <v>647</v>
      </c>
      <c r="B37" s="41" t="n">
        <f aca="false">B$15/Promoted!$D$10</f>
        <v>8333.33333333333</v>
      </c>
      <c r="C37" s="41" t="n">
        <f aca="false">C$15/Promoted!$D$10</f>
        <v>41666.6666666667</v>
      </c>
      <c r="D37" s="41" t="n">
        <f aca="false">D$15/Promoted!$D$10</f>
        <v>83333.3333333333</v>
      </c>
      <c r="F37" s="15" t="s">
        <v>649</v>
      </c>
    </row>
    <row r="38" customFormat="false" ht="15" hidden="false" customHeight="false" outlineLevel="0" collapsed="false">
      <c r="A38" s="4" t="s">
        <v>648</v>
      </c>
      <c r="B38" s="41" t="n">
        <f aca="false">B37/mau_per_signup</f>
        <v>33333.3333333333</v>
      </c>
      <c r="C38" s="41" t="n">
        <f aca="false">C37/mau_per_signup</f>
        <v>166666.666666667</v>
      </c>
      <c r="D38" s="41" t="n">
        <f aca="false">D37/mau_per_signup</f>
        <v>333333.333333333</v>
      </c>
      <c r="F38" s="15"/>
    </row>
    <row r="39" customFormat="false" ht="15" hidden="false" customHeight="false" outlineLevel="0" collapsed="false">
      <c r="A39" s="12" t="s">
        <v>650</v>
      </c>
      <c r="B39" s="13"/>
      <c r="C39" s="13"/>
      <c r="D39" s="13"/>
    </row>
    <row r="40" customFormat="false" ht="15" hidden="false" customHeight="false" outlineLevel="0" collapsed="false">
      <c r="A40" s="4" t="s">
        <v>651</v>
      </c>
      <c r="B40" s="46" t="str">
        <f aca="false">IF(B$15&gt;vat_threshold,"yes","no")</f>
        <v>no</v>
      </c>
      <c r="C40" s="46" t="str">
        <f aca="false">IF(C$15&gt;vat_threshold,"yes","no")</f>
        <v>no</v>
      </c>
      <c r="D40" s="46" t="str">
        <f aca="false">IF(D$15&gt;vat_threshold,"yes","no")</f>
        <v>yes</v>
      </c>
      <c r="F40" s="15" t="s">
        <v>652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7" min="2" style="0" width="11"/>
    <col collapsed="false" customWidth="true" hidden="false" outlineLevel="0" max="8" min="8" style="0" width="10"/>
    <col collapsed="false" customWidth="true" hidden="false" outlineLevel="0" max="12" min="9" style="0" width="12"/>
    <col collapsed="false" customWidth="true" hidden="false" outlineLevel="0" max="14" min="13" style="0" width="11"/>
    <col collapsed="false" customWidth="true" hidden="false" outlineLevel="0" max="15" min="15" style="0" width="10"/>
    <col collapsed="false" customWidth="true" hidden="false" outlineLevel="0" max="16" min="16" style="0" width="13"/>
  </cols>
  <sheetData>
    <row r="1" customFormat="false" ht="17.35" hidden="false" customHeight="false" outlineLevel="0" collapsed="false">
      <c r="A1" s="1" t="s">
        <v>653</v>
      </c>
    </row>
    <row r="2" customFormat="false" ht="15" hidden="false" customHeight="false" outlineLevel="0" collapsed="false">
      <c r="A2" s="2" t="s">
        <v>654</v>
      </c>
    </row>
    <row r="4" customFormat="false" ht="54" hidden="false" customHeight="true" outlineLevel="0" collapsed="false">
      <c r="A4" s="11" t="s">
        <v>655</v>
      </c>
      <c r="B4" s="11" t="s">
        <v>656</v>
      </c>
      <c r="C4" s="11" t="s">
        <v>657</v>
      </c>
      <c r="D4" s="11" t="s">
        <v>658</v>
      </c>
      <c r="E4" s="11" t="s">
        <v>659</v>
      </c>
      <c r="F4" s="11" t="s">
        <v>660</v>
      </c>
      <c r="G4" s="11" t="s">
        <v>661</v>
      </c>
      <c r="H4" s="11" t="s">
        <v>662</v>
      </c>
      <c r="I4" s="11" t="s">
        <v>663</v>
      </c>
      <c r="J4" s="11" t="s">
        <v>664</v>
      </c>
      <c r="K4" s="11" t="s">
        <v>665</v>
      </c>
      <c r="L4" s="11" t="s">
        <v>666</v>
      </c>
      <c r="M4" s="11" t="s">
        <v>667</v>
      </c>
      <c r="N4" s="11" t="s">
        <v>668</v>
      </c>
      <c r="O4" s="11" t="s">
        <v>669</v>
      </c>
      <c r="P4" s="11" t="s">
        <v>670</v>
      </c>
    </row>
    <row r="5" customFormat="false" ht="15" hidden="false" customHeight="false" outlineLevel="0" collapsed="false">
      <c r="A5" s="5" t="s">
        <v>671</v>
      </c>
      <c r="B5" s="8" t="n">
        <f aca="false">price_month</f>
        <v>4.99</v>
      </c>
      <c r="C5" s="8" t="n">
        <f aca="false">price_year</f>
        <v>29.99</v>
      </c>
      <c r="D5" s="32" t="n">
        <f aca="false">conv_paid</f>
        <v>0.021</v>
      </c>
      <c r="E5" s="32" t="n">
        <f aca="false">ret_monthly</f>
        <v>0.1</v>
      </c>
      <c r="F5" s="32" t="n">
        <f aca="false">ret_annual</f>
        <v>0.39</v>
      </c>
      <c r="G5" s="8" t="n">
        <f aca="false">meta_cpc</f>
        <v>0.75</v>
      </c>
      <c r="H5" s="32" t="n">
        <f aca="false">Costs!D13</f>
        <v>1</v>
      </c>
      <c r="I5" s="7" t="n">
        <f aca="false">Costs!D41</f>
        <v>0.14025448517205</v>
      </c>
      <c r="J5" s="7" t="n">
        <f aca="false">Costs!D51</f>
        <v>0.37955542811148</v>
      </c>
      <c r="K5" s="39" t="n">
        <f aca="false">H5*B5*Costs!$D$22+(1-H5)*(B5/(1+vat_rate*vat_registered)-(B5*stripe_pct+stripe_fixed))</f>
        <v>3.09680904522613</v>
      </c>
      <c r="L5" s="39" t="n">
        <f aca="false">H5*C5*Costs!$D$22+(1-H5)*(C5/(1+vat_rate*vat_registered)-(C5*stripe_pct+stripe_fixed))</f>
        <v>18.6118844221106</v>
      </c>
      <c r="M5" s="39" t="n">
        <f aca="false">annual_share*(L5-12*I5)/(1-F5)+(1-annual_share)*(K5-I5)/(1-E5^(1/12))</f>
        <v>24.073900415536</v>
      </c>
      <c r="N5" s="39" t="n">
        <f aca="false">(G5/click_signup+J5)/D5</f>
        <v>375.216925148166</v>
      </c>
      <c r="O5" s="43" t="n">
        <f aca="false">M5/N5</f>
        <v>0.0641599533550619</v>
      </c>
      <c r="P5" s="41" t="n">
        <f aca="false">50000/(annual_share*L5/(1-F5)+(1-annual_share)*K5/(1-E5^(1/12)))/D5</f>
        <v>90987.0537407288</v>
      </c>
    </row>
    <row r="6" customFormat="false" ht="15" hidden="false" customHeight="false" outlineLevel="0" collapsed="false">
      <c r="A6" s="4" t="s">
        <v>672</v>
      </c>
      <c r="B6" s="28" t="n">
        <v>2.99</v>
      </c>
      <c r="C6" s="28" t="n">
        <v>17.99</v>
      </c>
      <c r="D6" s="32" t="n">
        <f aca="false">conv_paid</f>
        <v>0.021</v>
      </c>
      <c r="E6" s="32" t="n">
        <f aca="false">ret_monthly</f>
        <v>0.1</v>
      </c>
      <c r="F6" s="32" t="n">
        <f aca="false">ret_annual</f>
        <v>0.39</v>
      </c>
      <c r="G6" s="8" t="n">
        <f aca="false">meta_cpc</f>
        <v>0.75</v>
      </c>
      <c r="H6" s="32" t="n">
        <f aca="false">Costs!D13</f>
        <v>1</v>
      </c>
      <c r="I6" s="7" t="n">
        <f aca="false">Costs!D41</f>
        <v>0.14025448517205</v>
      </c>
      <c r="J6" s="7" t="n">
        <f aca="false">Costs!D51</f>
        <v>0.37955542811148</v>
      </c>
      <c r="K6" s="39" t="n">
        <f aca="false">H6*B6*Costs!$D$22+(1-H6)*(B6/(1+vat_rate*vat_registered)-(B6*stripe_pct+stripe_fixed))</f>
        <v>1.85560301507538</v>
      </c>
      <c r="L6" s="39" t="n">
        <f aca="false">H6*C6*Costs!$D$22+(1-H6)*(C6/(1+vat_rate*vat_registered)-(C6*stripe_pct+stripe_fixed))</f>
        <v>11.164648241206</v>
      </c>
      <c r="M6" s="39" t="n">
        <f aca="false">annual_share*(L6-12*I6)/(1-F6)+(1-annual_share)*(K6-I6)/(1-E6^(1/12))</f>
        <v>13.5991665037887</v>
      </c>
      <c r="N6" s="39" t="n">
        <f aca="false">(G6/click_signup+J6)/D6</f>
        <v>375.216925148166</v>
      </c>
      <c r="O6" s="43" t="n">
        <f aca="false">M6/N6</f>
        <v>0.0362434783516726</v>
      </c>
      <c r="P6" s="41" t="n">
        <f aca="false">50000/(annual_share*L6/(1-F6)+(1-annual_share)*K6/(1-E6^(1/12)))/D6</f>
        <v>151717.755921462</v>
      </c>
    </row>
    <row r="7" customFormat="false" ht="15" hidden="false" customHeight="false" outlineLevel="0" collapsed="false">
      <c r="A7" s="4" t="s">
        <v>673</v>
      </c>
      <c r="B7" s="28" t="n">
        <v>9.99</v>
      </c>
      <c r="C7" s="28" t="n">
        <v>59.99</v>
      </c>
      <c r="D7" s="32" t="n">
        <f aca="false">conv_paid</f>
        <v>0.021</v>
      </c>
      <c r="E7" s="32" t="n">
        <f aca="false">ret_monthly</f>
        <v>0.1</v>
      </c>
      <c r="F7" s="32" t="n">
        <f aca="false">ret_annual</f>
        <v>0.39</v>
      </c>
      <c r="G7" s="8" t="n">
        <f aca="false">meta_cpc</f>
        <v>0.75</v>
      </c>
      <c r="H7" s="32" t="n">
        <f aca="false">Costs!D13</f>
        <v>1</v>
      </c>
      <c r="I7" s="7" t="n">
        <f aca="false">Costs!D41</f>
        <v>0.14025448517205</v>
      </c>
      <c r="J7" s="7" t="n">
        <f aca="false">Costs!D51</f>
        <v>0.37955542811148</v>
      </c>
      <c r="K7" s="39" t="n">
        <f aca="false">H7*B7*Costs!$D$22+(1-H7)*(B7/(1+vat_rate*vat_registered)-(B7*stripe_pct+stripe_fixed))</f>
        <v>6.19982412060301</v>
      </c>
      <c r="L7" s="39" t="n">
        <f aca="false">H7*C7*Costs!$D$22+(1-H7)*(C7/(1+vat_rate*vat_registered)-(C7*stripe_pct+stripe_fixed))</f>
        <v>37.2299748743719</v>
      </c>
      <c r="M7" s="39" t="n">
        <f aca="false">annual_share*(L7-12*I7)/(1-F7)+(1-annual_share)*(K7-I7)/(1-E7^(1/12))</f>
        <v>50.2607351949044</v>
      </c>
      <c r="N7" s="39" t="n">
        <f aca="false">(G7/click_signup+J7)/D7</f>
        <v>375.216925148166</v>
      </c>
      <c r="O7" s="43" t="n">
        <f aca="false">M7/N7</f>
        <v>0.133951140863535</v>
      </c>
      <c r="P7" s="41" t="n">
        <f aca="false">50000/(annual_share*L7/(1-F7)+(1-annual_share)*K7/(1-E7^(1/12)))/D7</f>
        <v>45477.1906399995</v>
      </c>
    </row>
    <row r="8" customFormat="false" ht="15" hidden="false" customHeight="false" outlineLevel="0" collapsed="false">
      <c r="A8" s="4" t="s">
        <v>674</v>
      </c>
      <c r="B8" s="8" t="n">
        <f aca="false">price_month</f>
        <v>4.99</v>
      </c>
      <c r="C8" s="8" t="n">
        <f aca="false">price_year</f>
        <v>29.99</v>
      </c>
      <c r="D8" s="25" t="n">
        <v>0.01</v>
      </c>
      <c r="E8" s="32" t="n">
        <f aca="false">ret_monthly</f>
        <v>0.1</v>
      </c>
      <c r="F8" s="32" t="n">
        <f aca="false">ret_annual</f>
        <v>0.39</v>
      </c>
      <c r="G8" s="8" t="n">
        <f aca="false">meta_cpc</f>
        <v>0.75</v>
      </c>
      <c r="H8" s="32" t="n">
        <f aca="false">Costs!D13</f>
        <v>1</v>
      </c>
      <c r="I8" s="7" t="n">
        <f aca="false">Costs!D41</f>
        <v>0.14025448517205</v>
      </c>
      <c r="J8" s="7" t="n">
        <f aca="false">Costs!D51</f>
        <v>0.37955542811148</v>
      </c>
      <c r="K8" s="39" t="n">
        <f aca="false">H8*B8*Costs!$D$22+(1-H8)*(B8/(1+vat_rate*vat_registered)-(B8*stripe_pct+stripe_fixed))</f>
        <v>3.09680904522613</v>
      </c>
      <c r="L8" s="39" t="n">
        <f aca="false">H8*C8*Costs!$D$22+(1-H8)*(C8/(1+vat_rate*vat_registered)-(C8*stripe_pct+stripe_fixed))</f>
        <v>18.6118844221106</v>
      </c>
      <c r="M8" s="39" t="n">
        <f aca="false">annual_share*(L8-12*I8)/(1-F8)+(1-annual_share)*(K8-I8)/(1-E8^(1/12))</f>
        <v>24.073900415536</v>
      </c>
      <c r="N8" s="39" t="n">
        <f aca="false">(G8/click_signup+J8)/D8</f>
        <v>787.955542811148</v>
      </c>
      <c r="O8" s="43" t="n">
        <f aca="false">M8/N8</f>
        <v>0.0305523587405056</v>
      </c>
      <c r="P8" s="41" t="n">
        <f aca="false">50000/(annual_share*L8/(1-F8)+(1-annual_share)*K8/(1-E8^(1/12)))/D8</f>
        <v>191072.81285553</v>
      </c>
    </row>
    <row r="9" customFormat="false" ht="15" hidden="false" customHeight="false" outlineLevel="0" collapsed="false">
      <c r="A9" s="4" t="s">
        <v>675</v>
      </c>
      <c r="B9" s="8" t="n">
        <f aca="false">price_month</f>
        <v>4.99</v>
      </c>
      <c r="C9" s="8" t="n">
        <f aca="false">price_year</f>
        <v>29.99</v>
      </c>
      <c r="D9" s="47" t="n">
        <f aca="false">conv_paywall</f>
        <v>0.107</v>
      </c>
      <c r="E9" s="32" t="n">
        <f aca="false">ret_monthly</f>
        <v>0.1</v>
      </c>
      <c r="F9" s="32" t="n">
        <f aca="false">ret_annual</f>
        <v>0.39</v>
      </c>
      <c r="G9" s="8" t="n">
        <f aca="false">meta_cpc</f>
        <v>0.75</v>
      </c>
      <c r="H9" s="32" t="n">
        <f aca="false">Costs!D13</f>
        <v>1</v>
      </c>
      <c r="I9" s="7" t="n">
        <f aca="false">Costs!D41</f>
        <v>0.14025448517205</v>
      </c>
      <c r="J9" s="7" t="n">
        <f aca="false">Costs!D51</f>
        <v>0.37955542811148</v>
      </c>
      <c r="K9" s="39" t="n">
        <f aca="false">H9*B9*Costs!$D$22+(1-H9)*(B9/(1+vat_rate*vat_registered)-(B9*stripe_pct+stripe_fixed))</f>
        <v>3.09680904522613</v>
      </c>
      <c r="L9" s="39" t="n">
        <f aca="false">H9*C9*Costs!$D$22+(1-H9)*(C9/(1+vat_rate*vat_registered)-(C9*stripe_pct+stripe_fixed))</f>
        <v>18.6118844221106</v>
      </c>
      <c r="M9" s="39" t="n">
        <f aca="false">annual_share*(L9-12*I9)/(1-F9)+(1-annual_share)*(K9-I9)/(1-E9^(1/12))</f>
        <v>24.073900415536</v>
      </c>
      <c r="N9" s="39" t="n">
        <f aca="false">(G9/click_signup+J9)/D9</f>
        <v>73.6407049356213</v>
      </c>
      <c r="O9" s="43" t="n">
        <f aca="false">M9/N9</f>
        <v>0.32691023852341</v>
      </c>
      <c r="P9" s="41" t="n">
        <f aca="false">50000/(annual_share*L9/(1-F9)+(1-annual_share)*K9/(1-E9^(1/12)))/D9</f>
        <v>17857.2722294888</v>
      </c>
    </row>
    <row r="10" customFormat="false" ht="15" hidden="false" customHeight="false" outlineLevel="0" collapsed="false">
      <c r="A10" s="4" t="s">
        <v>676</v>
      </c>
      <c r="B10" s="8" t="n">
        <f aca="false">price_month</f>
        <v>4.99</v>
      </c>
      <c r="C10" s="8" t="n">
        <f aca="false">price_year</f>
        <v>29.99</v>
      </c>
      <c r="D10" s="32" t="n">
        <f aca="false">conv_paid</f>
        <v>0.021</v>
      </c>
      <c r="E10" s="25" t="n">
        <v>0.06</v>
      </c>
      <c r="F10" s="32" t="n">
        <f aca="false">ret_annual</f>
        <v>0.39</v>
      </c>
      <c r="G10" s="8" t="n">
        <f aca="false">meta_cpc</f>
        <v>0.75</v>
      </c>
      <c r="H10" s="32" t="n">
        <f aca="false">Costs!D13</f>
        <v>1</v>
      </c>
      <c r="I10" s="7" t="n">
        <f aca="false">Costs!D41</f>
        <v>0.14025448517205</v>
      </c>
      <c r="J10" s="7" t="n">
        <f aca="false">Costs!D51</f>
        <v>0.37955542811148</v>
      </c>
      <c r="K10" s="39" t="n">
        <f aca="false">H10*B10*Costs!$D$22+(1-H10)*(B10/(1+vat_rate*vat_registered)-(B10*stripe_pct+stripe_fixed))</f>
        <v>3.09680904522613</v>
      </c>
      <c r="L10" s="39" t="n">
        <f aca="false">H10*C10*Costs!$D$22+(1-H10)*(C10/(1+vat_rate*vat_registered)-(C10*stripe_pct+stripe_fixed))</f>
        <v>18.6118844221106</v>
      </c>
      <c r="M10" s="39" t="n">
        <f aca="false">annual_share*(L10-12*I10)/(1-F10)+(1-annual_share)*(K10-I10)/(1-E10^(1/12))</f>
        <v>23.1262624828536</v>
      </c>
      <c r="N10" s="39" t="n">
        <f aca="false">(G10/click_signup+J10)/D10</f>
        <v>375.216925148166</v>
      </c>
      <c r="O10" s="43" t="n">
        <f aca="false">M10/N10</f>
        <v>0.0616343798290055</v>
      </c>
      <c r="P10" s="41" t="n">
        <f aca="false">50000/(annual_share*L10/(1-F10)+(1-annual_share)*K10/(1-E10^(1/12)))/D10</f>
        <v>94574.4013324412</v>
      </c>
    </row>
    <row r="11" customFormat="false" ht="15" hidden="false" customHeight="false" outlineLevel="0" collapsed="false">
      <c r="A11" s="4" t="s">
        <v>677</v>
      </c>
      <c r="B11" s="8" t="n">
        <f aca="false">price_month</f>
        <v>4.99</v>
      </c>
      <c r="C11" s="8" t="n">
        <f aca="false">price_year</f>
        <v>29.99</v>
      </c>
      <c r="D11" s="32" t="n">
        <f aca="false">conv_paid</f>
        <v>0.021</v>
      </c>
      <c r="E11" s="25" t="n">
        <v>0.14</v>
      </c>
      <c r="F11" s="32" t="n">
        <f aca="false">ret_annual</f>
        <v>0.39</v>
      </c>
      <c r="G11" s="8" t="n">
        <f aca="false">meta_cpc</f>
        <v>0.75</v>
      </c>
      <c r="H11" s="32" t="n">
        <f aca="false">Costs!D13</f>
        <v>1</v>
      </c>
      <c r="I11" s="7" t="n">
        <f aca="false">Costs!D41</f>
        <v>0.14025448517205</v>
      </c>
      <c r="J11" s="7" t="n">
        <f aca="false">Costs!D51</f>
        <v>0.37955542811148</v>
      </c>
      <c r="K11" s="39" t="n">
        <f aca="false">H11*B11*Costs!$D$22+(1-H11)*(B11/(1+vat_rate*vat_registered)-(B11*stripe_pct+stripe_fixed))</f>
        <v>3.09680904522613</v>
      </c>
      <c r="L11" s="39" t="n">
        <f aca="false">H11*C11*Costs!$D$22+(1-H11)*(C11/(1+vat_rate*vat_registered)-(C11*stripe_pct+stripe_fixed))</f>
        <v>18.6118844221106</v>
      </c>
      <c r="M11" s="39" t="n">
        <f aca="false">annual_share*(L11-12*I11)/(1-F11)+(1-annual_share)*(K11-I11)/(1-E11^(1/12))</f>
        <v>24.9680983869206</v>
      </c>
      <c r="N11" s="39" t="n">
        <f aca="false">(G11/click_signup+J11)/D11</f>
        <v>375.216925148166</v>
      </c>
      <c r="O11" s="43" t="n">
        <f aca="false">M11/N11</f>
        <v>0.0665431027053516</v>
      </c>
      <c r="P11" s="41" t="n">
        <f aca="false">50000/(annual_share*L11/(1-F11)+(1-annual_share)*K11/(1-E11^(1/12)))/D11</f>
        <v>87842.9419846306</v>
      </c>
    </row>
    <row r="12" customFormat="false" ht="15" hidden="false" customHeight="false" outlineLevel="0" collapsed="false">
      <c r="A12" s="4" t="s">
        <v>678</v>
      </c>
      <c r="B12" s="8" t="n">
        <f aca="false">price_month</f>
        <v>4.99</v>
      </c>
      <c r="C12" s="8" t="n">
        <f aca="false">price_year</f>
        <v>29.99</v>
      </c>
      <c r="D12" s="32" t="n">
        <f aca="false">conv_paid</f>
        <v>0.021</v>
      </c>
      <c r="E12" s="32" t="n">
        <f aca="false">ret_monthly</f>
        <v>0.1</v>
      </c>
      <c r="F12" s="32" t="n">
        <f aca="false">ret_annual</f>
        <v>0.39</v>
      </c>
      <c r="G12" s="28" t="n">
        <v>0.45</v>
      </c>
      <c r="H12" s="32" t="n">
        <f aca="false">Costs!D13</f>
        <v>1</v>
      </c>
      <c r="I12" s="7" t="n">
        <f aca="false">Costs!D41</f>
        <v>0.14025448517205</v>
      </c>
      <c r="J12" s="7" t="n">
        <f aca="false">Costs!D51</f>
        <v>0.37955542811148</v>
      </c>
      <c r="K12" s="39" t="n">
        <f aca="false">H12*B12*Costs!$D$22+(1-H12)*(B12/(1+vat_rate*vat_registered)-(B12*stripe_pct+stripe_fixed))</f>
        <v>3.09680904522613</v>
      </c>
      <c r="L12" s="39" t="n">
        <f aca="false">H12*C12*Costs!$D$22+(1-H12)*(C12/(1+vat_rate*vat_registered)-(C12*stripe_pct+stripe_fixed))</f>
        <v>18.6118844221106</v>
      </c>
      <c r="M12" s="39" t="n">
        <f aca="false">annual_share*(L12-12*I12)/(1-F12)+(1-annual_share)*(K12-I12)/(1-E12^(1/12))</f>
        <v>24.073900415536</v>
      </c>
      <c r="N12" s="39" t="n">
        <f aca="false">(G12/click_signup+J12)/D12</f>
        <v>232.359782291023</v>
      </c>
      <c r="O12" s="43" t="n">
        <f aca="false">M12/N12</f>
        <v>0.10360614120986</v>
      </c>
      <c r="P12" s="41" t="n">
        <f aca="false">50000/(annual_share*L12/(1-F12)+(1-annual_share)*K12/(1-E12^(1/12)))/D12</f>
        <v>90987.0537407288</v>
      </c>
    </row>
    <row r="13" customFormat="false" ht="15" hidden="false" customHeight="false" outlineLevel="0" collapsed="false">
      <c r="A13" s="4" t="s">
        <v>679</v>
      </c>
      <c r="B13" s="8" t="n">
        <f aca="false">price_month</f>
        <v>4.99</v>
      </c>
      <c r="C13" s="8" t="n">
        <f aca="false">price_year</f>
        <v>29.99</v>
      </c>
      <c r="D13" s="32" t="n">
        <f aca="false">conv_paid</f>
        <v>0.021</v>
      </c>
      <c r="E13" s="32" t="n">
        <f aca="false">ret_monthly</f>
        <v>0.1</v>
      </c>
      <c r="F13" s="32" t="n">
        <f aca="false">ret_annual</f>
        <v>0.39</v>
      </c>
      <c r="G13" s="28" t="n">
        <v>1.1</v>
      </c>
      <c r="H13" s="32" t="n">
        <f aca="false">Costs!D13</f>
        <v>1</v>
      </c>
      <c r="I13" s="7" t="n">
        <f aca="false">Costs!D41</f>
        <v>0.14025448517205</v>
      </c>
      <c r="J13" s="7" t="n">
        <f aca="false">Costs!D51</f>
        <v>0.37955542811148</v>
      </c>
      <c r="K13" s="39" t="n">
        <f aca="false">H13*B13*Costs!$D$22+(1-H13)*(B13/(1+vat_rate*vat_registered)-(B13*stripe_pct+stripe_fixed))</f>
        <v>3.09680904522613</v>
      </c>
      <c r="L13" s="39" t="n">
        <f aca="false">H13*C13*Costs!$D$22+(1-H13)*(C13/(1+vat_rate*vat_registered)-(C13*stripe_pct+stripe_fixed))</f>
        <v>18.6118844221106</v>
      </c>
      <c r="M13" s="39" t="n">
        <f aca="false">annual_share*(L13-12*I13)/(1-F13)+(1-annual_share)*(K13-I13)/(1-E13^(1/12))</f>
        <v>24.073900415536</v>
      </c>
      <c r="N13" s="39" t="n">
        <f aca="false">(G13/click_signup+J13)/D13</f>
        <v>541.883591814832</v>
      </c>
      <c r="O13" s="43" t="n">
        <f aca="false">M13/N13</f>
        <v>0.0444263321111269</v>
      </c>
      <c r="P13" s="41" t="n">
        <f aca="false">50000/(annual_share*L13/(1-F13)+(1-annual_share)*K13/(1-E13^(1/12)))/D13</f>
        <v>90987.0537407288</v>
      </c>
    </row>
    <row r="14" customFormat="false" ht="15" hidden="false" customHeight="false" outlineLevel="0" collapsed="false">
      <c r="A14" s="4" t="s">
        <v>680</v>
      </c>
      <c r="B14" s="8" t="n">
        <f aca="false">price_month</f>
        <v>4.99</v>
      </c>
      <c r="C14" s="8" t="n">
        <f aca="false">price_year</f>
        <v>29.99</v>
      </c>
      <c r="D14" s="32" t="n">
        <f aca="false">conv_paid</f>
        <v>0.021</v>
      </c>
      <c r="E14" s="32" t="n">
        <f aca="false">ret_monthly</f>
        <v>0.1</v>
      </c>
      <c r="F14" s="32" t="n">
        <f aca="false">ret_annual</f>
        <v>0.39</v>
      </c>
      <c r="G14" s="8" t="n">
        <f aca="false">meta_cpc</f>
        <v>0.75</v>
      </c>
      <c r="H14" s="47" t="n">
        <f aca="false">Costs!C13</f>
        <v>1</v>
      </c>
      <c r="I14" s="48" t="n">
        <f aca="false">Costs!C41</f>
        <v>0.0334781495246001</v>
      </c>
      <c r="J14" s="48" t="n">
        <f aca="false">Costs!C51</f>
        <v>0.0694135627326693</v>
      </c>
      <c r="K14" s="39" t="n">
        <f aca="false">H14*B14*Costs!$D$22+(1-H14)*(B14/(1+vat_rate*vat_registered)-(B14*stripe_pct+stripe_fixed))</f>
        <v>3.09680904522613</v>
      </c>
      <c r="L14" s="39" t="n">
        <f aca="false">H14*C14*Costs!$D$22+(1-H14)*(C14/(1+vat_rate*vat_registered)-(C14*stripe_pct+stripe_fixed))</f>
        <v>18.6118844221106</v>
      </c>
      <c r="M14" s="39" t="n">
        <f aca="false">annual_share*(L14-12*I14)/(1-F14)+(1-annual_share)*(K14-I14)/(1-E14^(1/12))</f>
        <v>25.668173758268</v>
      </c>
      <c r="N14" s="39" t="n">
        <f aca="false">(G14/click_signup+J14)/D14</f>
        <v>360.448264892032</v>
      </c>
      <c r="O14" s="43" t="n">
        <f aca="false">M14/N14</f>
        <v>0.0712118111206795</v>
      </c>
      <c r="P14" s="41" t="n">
        <f aca="false">50000/(annual_share*L14/(1-F14)+(1-annual_share)*K14/(1-E14^(1/12)))/D14</f>
        <v>90987.0537407288</v>
      </c>
    </row>
    <row r="15" customFormat="false" ht="15" hidden="false" customHeight="false" outlineLevel="0" collapsed="false">
      <c r="A15" s="4" t="s">
        <v>681</v>
      </c>
      <c r="B15" s="8" t="n">
        <f aca="false">price_month</f>
        <v>4.99</v>
      </c>
      <c r="C15" s="8" t="n">
        <f aca="false">price_year</f>
        <v>29.99</v>
      </c>
      <c r="D15" s="32" t="n">
        <f aca="false">conv_paid</f>
        <v>0.021</v>
      </c>
      <c r="E15" s="32" t="n">
        <f aca="false">ret_monthly</f>
        <v>0.1</v>
      </c>
      <c r="F15" s="32" t="n">
        <f aca="false">ret_annual</f>
        <v>0.39</v>
      </c>
      <c r="G15" s="8" t="n">
        <f aca="false">meta_cpc</f>
        <v>0.75</v>
      </c>
      <c r="H15" s="47" t="n">
        <f aca="false">Costs!E13</f>
        <v>0</v>
      </c>
      <c r="I15" s="48" t="n">
        <f aca="false">Costs!E41</f>
        <v>0.313092758640205</v>
      </c>
      <c r="J15" s="48" t="n">
        <f aca="false">Costs!E51</f>
        <v>4.56416152530436</v>
      </c>
      <c r="K15" s="39" t="n">
        <f aca="false">H15*B15*Costs!$D$22+(1-H15)*(B15/(1+vat_rate*vat_registered)-(B15*stripe_pct+stripe_fixed))</f>
        <v>4.71515</v>
      </c>
      <c r="L15" s="39" t="n">
        <f aca="false">H15*C15*Costs!$D$22+(1-H15)*(C15/(1+vat_rate*vat_registered)-(C15*stripe_pct+stripe_fixed))</f>
        <v>29.34015</v>
      </c>
      <c r="M15" s="39" t="n">
        <f aca="false">annual_share*(L15-12*I15)/(1-F15)+(1-annual_share)*(K15-I15)/(1-E15^(1/12))</f>
        <v>36.2523744860531</v>
      </c>
      <c r="N15" s="39" t="n">
        <f aca="false">(G15/click_signup+J15)/D15</f>
        <v>574.48388215735</v>
      </c>
      <c r="O15" s="43" t="n">
        <f aca="false">M15/N15</f>
        <v>0.0631042499398158</v>
      </c>
      <c r="P15" s="41" t="n">
        <f aca="false">50000/(annual_share*L15/(1-F15)+(1-annual_share)*K15/(1-E15^(1/12)))/D15</f>
        <v>58175.376477591</v>
      </c>
    </row>
    <row r="16" customFormat="false" ht="15" hidden="false" customHeight="false" outlineLevel="0" collapsed="false">
      <c r="A16" s="4" t="s">
        <v>682</v>
      </c>
      <c r="B16" s="8" t="n">
        <f aca="false">price_month</f>
        <v>4.99</v>
      </c>
      <c r="C16" s="8" t="n">
        <f aca="false">price_year</f>
        <v>29.99</v>
      </c>
      <c r="D16" s="32" t="n">
        <f aca="false">conv_paid</f>
        <v>0.021</v>
      </c>
      <c r="E16" s="32" t="n">
        <f aca="false">ret_monthly</f>
        <v>0.1</v>
      </c>
      <c r="F16" s="32" t="n">
        <f aca="false">ret_annual</f>
        <v>0.39</v>
      </c>
      <c r="G16" s="8" t="n">
        <f aca="false">meta_cpc</f>
        <v>0.75</v>
      </c>
      <c r="H16" s="25" t="n">
        <v>0</v>
      </c>
      <c r="I16" s="7" t="n">
        <f aca="false">Costs!D41</f>
        <v>0.14025448517205</v>
      </c>
      <c r="J16" s="7" t="n">
        <f aca="false">Costs!D51</f>
        <v>0.37955542811148</v>
      </c>
      <c r="K16" s="39" t="n">
        <f aca="false">H16*B16*Costs!$D$22+(1-H16)*(B16/(1+vat_rate*vat_registered)-(B16*stripe_pct+stripe_fixed))</f>
        <v>4.71515</v>
      </c>
      <c r="L16" s="39" t="n">
        <f aca="false">H16*C16*Costs!$D$22+(1-H16)*(C16/(1+vat_rate*vat_registered)-(C16*stripe_pct+stripe_fixed))</f>
        <v>29.34015</v>
      </c>
      <c r="M16" s="39" t="n">
        <f aca="false">annual_share*(L16-12*I16)/(1-F16)+(1-annual_share)*(K16-I16)/(1-E16^(1/12))</f>
        <v>38.8330160703823</v>
      </c>
      <c r="N16" s="39" t="n">
        <f aca="false">(G16/click_signup+J16)/D16</f>
        <v>375.216925148166</v>
      </c>
      <c r="O16" s="43" t="n">
        <f aca="false">M16/N16</f>
        <v>0.103494841164342</v>
      </c>
      <c r="P16" s="41" t="n">
        <f aca="false">50000/(annual_share*L16/(1-F16)+(1-annual_share)*K16/(1-E16^(1/12)))/D16</f>
        <v>58175.376477591</v>
      </c>
    </row>
    <row r="17" customFormat="false" ht="15" hidden="false" customHeight="false" outlineLevel="0" collapsed="false">
      <c r="A17" s="4" t="s">
        <v>683</v>
      </c>
      <c r="B17" s="28" t="n">
        <v>9.99</v>
      </c>
      <c r="C17" s="28" t="n">
        <v>59.99</v>
      </c>
      <c r="D17" s="47" t="n">
        <f aca="false">conv_paywall</f>
        <v>0.107</v>
      </c>
      <c r="E17" s="32" t="n">
        <f aca="false">ret_monthly</f>
        <v>0.1</v>
      </c>
      <c r="F17" s="32" t="n">
        <f aca="false">ret_annual</f>
        <v>0.39</v>
      </c>
      <c r="G17" s="8" t="n">
        <f aca="false">meta_cpc</f>
        <v>0.75</v>
      </c>
      <c r="H17" s="25" t="n">
        <v>0</v>
      </c>
      <c r="I17" s="7" t="n">
        <f aca="false">Costs!D41</f>
        <v>0.14025448517205</v>
      </c>
      <c r="J17" s="7" t="n">
        <f aca="false">Costs!D51</f>
        <v>0.37955542811148</v>
      </c>
      <c r="K17" s="39" t="n">
        <f aca="false">H17*B17*Costs!$D$22+(1-H17)*(B17/(1+vat_rate*vat_registered)-(B17*stripe_pct+stripe_fixed))</f>
        <v>9.64015</v>
      </c>
      <c r="L17" s="39" t="n">
        <f aca="false">H17*C17*Costs!$D$22+(1-H17)*(C17/(1+vat_rate*vat_registered)-(C17*stripe_pct+stripe_fixed))</f>
        <v>58.89015</v>
      </c>
      <c r="M17" s="39" t="n">
        <f aca="false">annual_share*(L17-12*I17)/(1-F17)+(1-annual_share)*(K17-I17)/(1-E17^(1/12))</f>
        <v>80.3958696677741</v>
      </c>
      <c r="N17" s="39" t="n">
        <f aca="false">(G17/click_signup+J17)/D17</f>
        <v>73.6407049356213</v>
      </c>
      <c r="O17" s="43" t="n">
        <f aca="false">M17/N17</f>
        <v>1.09173139689603</v>
      </c>
      <c r="P17" s="41" t="n">
        <f aca="false">50000/(annual_share*L17/(1-F17)+(1-annual_share)*K17/(1-E17^(1/12)))/D17</f>
        <v>5664.80418413705</v>
      </c>
    </row>
    <row r="18" customFormat="false" ht="15" hidden="false" customHeight="false" outlineLevel="0" collapsed="false">
      <c r="A18" s="2" t="s">
        <v>684</v>
      </c>
    </row>
    <row r="20" customFormat="false" ht="15" hidden="false" customHeight="false" outlineLevel="0" collapsed="false">
      <c r="A20" s="3" t="s">
        <v>685</v>
      </c>
    </row>
    <row r="21" customFormat="false" ht="15" hidden="false" customHeight="false" outlineLevel="0" collapsed="false">
      <c r="A21" s="6" t="s">
        <v>686</v>
      </c>
      <c r="B21" s="49" t="n">
        <v>0.01</v>
      </c>
      <c r="C21" s="49" t="n">
        <v>0.021</v>
      </c>
      <c r="D21" s="49" t="n">
        <v>0.05</v>
      </c>
      <c r="E21" s="49" t="n">
        <v>0.107</v>
      </c>
    </row>
    <row r="22" customFormat="false" ht="15" hidden="false" customHeight="false" outlineLevel="0" collapsed="false">
      <c r="A22" s="50" t="n">
        <v>0.6</v>
      </c>
      <c r="B22" s="43" t="n">
        <f aca="false">(annual_share*((Costs!$D$13*($A22*price_year)*Costs!$D$22+(1-Costs!$D$13)*(($A22*price_year)/(1+vat_rate*vat_registered)-(($A22*price_year)*stripe_pct+stripe_fixed)))-12*Costs!$D$41)/(1-ret_annual)+(1-annual_share)*((Costs!$D$13*($A22*price_month)*Costs!$D$22+(1-Costs!$D$13)*(($A22*price_month)/(1+vat_rate*vat_registered)-(($A22*price_month)*stripe_pct+stripe_fixed)))-Costs!$D$41)/(1-ret_monthly^(1/12)))/((meta_cpc/click_signup+Costs!$D$51)/B$21)</f>
        <v>0.017268342933124</v>
      </c>
      <c r="C22" s="43" t="n">
        <f aca="false">(annual_share*((Costs!$D$13*($A22*price_year)*Costs!$D$22+(1-Costs!$D$13)*(($A22*price_year)/(1+vat_rate*vat_registered)-(($A22*price_year)*stripe_pct+stripe_fixed)))-12*Costs!$D$41)/(1-ret_annual)+(1-annual_share)*((Costs!$D$13*($A22*price_month)*Costs!$D$22+(1-Costs!$D$13)*(($A22*price_month)/(1+vat_rate*vat_registered)-(($A22*price_month)*stripe_pct+stripe_fixed)))-Costs!$D$41)/(1-ret_monthly^(1/12)))/((meta_cpc/click_signup+Costs!$D$51)/C$21)</f>
        <v>0.0362635201595604</v>
      </c>
      <c r="D22" s="43" t="n">
        <f aca="false">(annual_share*((Costs!$D$13*($A22*price_year)*Costs!$D$22+(1-Costs!$D$13)*(($A22*price_year)/(1+vat_rate*vat_registered)-(($A22*price_year)*stripe_pct+stripe_fixed)))-12*Costs!$D$41)/(1-ret_annual)+(1-annual_share)*((Costs!$D$13*($A22*price_month)*Costs!$D$22+(1-Costs!$D$13)*(($A22*price_month)/(1+vat_rate*vat_registered)-(($A22*price_month)*stripe_pct+stripe_fixed)))-Costs!$D$41)/(1-ret_monthly^(1/12)))/((meta_cpc/click_signup+Costs!$D$51)/D$21)</f>
        <v>0.08634171466562</v>
      </c>
      <c r="E22" s="43" t="n">
        <f aca="false">(annual_share*((Costs!$D$13*($A22*price_year)*Costs!$D$22+(1-Costs!$D$13)*(($A22*price_year)/(1+vat_rate*vat_registered)-(($A22*price_year)*stripe_pct+stripe_fixed)))-12*Costs!$D$41)/(1-ret_annual)+(1-annual_share)*((Costs!$D$13*($A22*price_month)*Costs!$D$22+(1-Costs!$D$13)*(($A22*price_month)/(1+vat_rate*vat_registered)-(($A22*price_month)*stripe_pct+stripe_fixed)))-Costs!$D$41)/(1-ret_monthly^(1/12)))/((meta_cpc/click_signup+Costs!$D$51)/E$21)</f>
        <v>0.184771269384427</v>
      </c>
    </row>
    <row r="23" customFormat="false" ht="15" hidden="false" customHeight="false" outlineLevel="0" collapsed="false">
      <c r="A23" s="50" t="n">
        <v>1</v>
      </c>
      <c r="B23" s="43" t="n">
        <f aca="false">(annual_share*((Costs!$D$13*($A23*price_year)*Costs!$D$22+(1-Costs!$D$13)*(($A23*price_year)/(1+vat_rate*vat_registered)-(($A23*price_year)*stripe_pct+stripe_fixed)))-12*Costs!$D$41)/(1-ret_annual)+(1-annual_share)*((Costs!$D$13*($A23*price_month)*Costs!$D$22+(1-Costs!$D$13)*(($A23*price_month)/(1+vat_rate*vat_registered)-(($A23*price_month)*stripe_pct+stripe_fixed)))-Costs!$D$41)/(1-ret_monthly^(1/12)))/((meta_cpc/click_signup+Costs!$D$51)/B$21)</f>
        <v>0.0305523587405056</v>
      </c>
      <c r="C23" s="43" t="n">
        <f aca="false">(annual_share*((Costs!$D$13*($A23*price_year)*Costs!$D$22+(1-Costs!$D$13)*(($A23*price_year)/(1+vat_rate*vat_registered)-(($A23*price_year)*stripe_pct+stripe_fixed)))-12*Costs!$D$41)/(1-ret_annual)+(1-annual_share)*((Costs!$D$13*($A23*price_month)*Costs!$D$22+(1-Costs!$D$13)*(($A23*price_month)/(1+vat_rate*vat_registered)-(($A23*price_month)*stripe_pct+stripe_fixed)))-Costs!$D$41)/(1-ret_monthly^(1/12)))/((meta_cpc/click_signup+Costs!$D$51)/C$21)</f>
        <v>0.0641599533550619</v>
      </c>
      <c r="D23" s="43" t="n">
        <f aca="false">(annual_share*((Costs!$D$13*($A23*price_year)*Costs!$D$22+(1-Costs!$D$13)*(($A23*price_year)/(1+vat_rate*vat_registered)-(($A23*price_year)*stripe_pct+stripe_fixed)))-12*Costs!$D$41)/(1-ret_annual)+(1-annual_share)*((Costs!$D$13*($A23*price_month)*Costs!$D$22+(1-Costs!$D$13)*(($A23*price_month)/(1+vat_rate*vat_registered)-(($A23*price_month)*stripe_pct+stripe_fixed)))-Costs!$D$41)/(1-ret_monthly^(1/12)))/((meta_cpc/click_signup+Costs!$D$51)/D$21)</f>
        <v>0.152761793702528</v>
      </c>
      <c r="E23" s="43" t="n">
        <f aca="false">(annual_share*((Costs!$D$13*($A23*price_year)*Costs!$D$22+(1-Costs!$D$13)*(($A23*price_year)/(1+vat_rate*vat_registered)-(($A23*price_year)*stripe_pct+stripe_fixed)))-12*Costs!$D$41)/(1-ret_annual)+(1-annual_share)*((Costs!$D$13*($A23*price_month)*Costs!$D$22+(1-Costs!$D$13)*(($A23*price_month)/(1+vat_rate*vat_registered)-(($A23*price_month)*stripe_pct+stripe_fixed)))-Costs!$D$41)/(1-ret_monthly^(1/12)))/((meta_cpc/click_signup+Costs!$D$51)/E$21)</f>
        <v>0.32691023852341</v>
      </c>
    </row>
    <row r="24" customFormat="false" ht="15" hidden="false" customHeight="false" outlineLevel="0" collapsed="false">
      <c r="A24" s="50" t="n">
        <v>1.5</v>
      </c>
      <c r="B24" s="43" t="n">
        <f aca="false">(annual_share*((Costs!$D$13*($A24*price_year)*Costs!$D$22+(1-Costs!$D$13)*(($A24*price_year)/(1+vat_rate*vat_registered)-(($A24*price_year)*stripe_pct+stripe_fixed)))-12*Costs!$D$41)/(1-ret_annual)+(1-annual_share)*((Costs!$D$13*($A24*price_month)*Costs!$D$22+(1-Costs!$D$13)*(($A24*price_month)/(1+vat_rate*vat_registered)-(($A24*price_month)*stripe_pct+stripe_fixed)))-Costs!$D$41)/(1-ret_monthly^(1/12)))/((meta_cpc/click_signup+Costs!$D$51)/B$21)</f>
        <v>0.0471573784997327</v>
      </c>
      <c r="C24" s="43" t="n">
        <f aca="false">(annual_share*((Costs!$D$13*($A24*price_year)*Costs!$D$22+(1-Costs!$D$13)*(($A24*price_year)/(1+vat_rate*vat_registered)-(($A24*price_year)*stripe_pct+stripe_fixed)))-12*Costs!$D$41)/(1-ret_annual)+(1-annual_share)*((Costs!$D$13*($A24*price_month)*Costs!$D$22+(1-Costs!$D$13)*(($A24*price_month)/(1+vat_rate*vat_registered)-(($A24*price_month)*stripe_pct+stripe_fixed)))-Costs!$D$41)/(1-ret_monthly^(1/12)))/((meta_cpc/click_signup+Costs!$D$51)/C$21)</f>
        <v>0.0990304948494386</v>
      </c>
      <c r="D24" s="43" t="n">
        <f aca="false">(annual_share*((Costs!$D$13*($A24*price_year)*Costs!$D$22+(1-Costs!$D$13)*(($A24*price_year)/(1+vat_rate*vat_registered)-(($A24*price_year)*stripe_pct+stripe_fixed)))-12*Costs!$D$41)/(1-ret_annual)+(1-annual_share)*((Costs!$D$13*($A24*price_month)*Costs!$D$22+(1-Costs!$D$13)*(($A24*price_month)/(1+vat_rate*vat_registered)-(($A24*price_month)*stripe_pct+stripe_fixed)))-Costs!$D$41)/(1-ret_monthly^(1/12)))/((meta_cpc/click_signup+Costs!$D$51)/D$21)</f>
        <v>0.235786892498663</v>
      </c>
      <c r="E24" s="43" t="n">
        <f aca="false">(annual_share*((Costs!$D$13*($A24*price_year)*Costs!$D$22+(1-Costs!$D$13)*(($A24*price_year)/(1+vat_rate*vat_registered)-(($A24*price_year)*stripe_pct+stripe_fixed)))-12*Costs!$D$41)/(1-ret_annual)+(1-annual_share)*((Costs!$D$13*($A24*price_month)*Costs!$D$22+(1-Costs!$D$13)*(($A24*price_month)/(1+vat_rate*vat_registered)-(($A24*price_month)*stripe_pct+stripe_fixed)))-Costs!$D$41)/(1-ret_monthly^(1/12)))/((meta_cpc/click_signup+Costs!$D$51)/E$21)</f>
        <v>0.50458394994714</v>
      </c>
    </row>
    <row r="25" customFormat="false" ht="15" hidden="false" customHeight="false" outlineLevel="0" collapsed="false">
      <c r="A25" s="50" t="n">
        <v>2</v>
      </c>
      <c r="B25" s="43" t="n">
        <f aca="false">(annual_share*((Costs!$D$13*($A25*price_year)*Costs!$D$22+(1-Costs!$D$13)*(($A25*price_year)/(1+vat_rate*vat_registered)-(($A25*price_year)*stripe_pct+stripe_fixed)))-12*Costs!$D$41)/(1-ret_annual)+(1-annual_share)*((Costs!$D$13*($A25*price_month)*Costs!$D$22+(1-Costs!$D$13)*(($A25*price_month)/(1+vat_rate*vat_registered)-(($A25*price_month)*stripe_pct+stripe_fixed)))-Costs!$D$41)/(1-ret_monthly^(1/12)))/((meta_cpc/click_signup+Costs!$D$51)/B$21)</f>
        <v>0.0637623982589597</v>
      </c>
      <c r="C25" s="43" t="n">
        <f aca="false">(annual_share*((Costs!$D$13*($A25*price_year)*Costs!$D$22+(1-Costs!$D$13)*(($A25*price_year)/(1+vat_rate*vat_registered)-(($A25*price_year)*stripe_pct+stripe_fixed)))-12*Costs!$D$41)/(1-ret_annual)+(1-annual_share)*((Costs!$D$13*($A25*price_month)*Costs!$D$22+(1-Costs!$D$13)*(($A25*price_month)/(1+vat_rate*vat_registered)-(($A25*price_month)*stripe_pct+stripe_fixed)))-Costs!$D$41)/(1-ret_monthly^(1/12)))/((meta_cpc/click_signup+Costs!$D$51)/C$21)</f>
        <v>0.133901036343815</v>
      </c>
      <c r="D25" s="43" t="n">
        <f aca="false">(annual_share*((Costs!$D$13*($A25*price_year)*Costs!$D$22+(1-Costs!$D$13)*(($A25*price_year)/(1+vat_rate*vat_registered)-(($A25*price_year)*stripe_pct+stripe_fixed)))-12*Costs!$D$41)/(1-ret_annual)+(1-annual_share)*((Costs!$D$13*($A25*price_month)*Costs!$D$22+(1-Costs!$D$13)*(($A25*price_month)/(1+vat_rate*vat_registered)-(($A25*price_month)*stripe_pct+stripe_fixed)))-Costs!$D$41)/(1-ret_monthly^(1/12)))/((meta_cpc/click_signup+Costs!$D$51)/D$21)</f>
        <v>0.318811991294799</v>
      </c>
      <c r="E25" s="43" t="n">
        <f aca="false">(annual_share*((Costs!$D$13*($A25*price_year)*Costs!$D$22+(1-Costs!$D$13)*(($A25*price_year)/(1+vat_rate*vat_registered)-(($A25*price_year)*stripe_pct+stripe_fixed)))-12*Costs!$D$41)/(1-ret_annual)+(1-annual_share)*((Costs!$D$13*($A25*price_month)*Costs!$D$22+(1-Costs!$D$13)*(($A25*price_month)/(1+vat_rate*vat_registered)-(($A25*price_month)*stripe_pct+stripe_fixed)))-Costs!$D$41)/(1-ret_monthly^(1/12)))/((meta_cpc/click_signup+Costs!$D$51)/E$21)</f>
        <v>0.682257661370869</v>
      </c>
    </row>
    <row r="27" customFormat="false" ht="15" hidden="false" customHeight="false" outlineLevel="0" collapsed="false">
      <c r="A27" s="2" t="s">
        <v>687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3" min="2" style="0" width="14"/>
    <col collapsed="false" customWidth="true" hidden="false" outlineLevel="0" max="4" min="4" style="0" width="60"/>
  </cols>
  <sheetData>
    <row r="1" customFormat="false" ht="17.35" hidden="false" customHeight="false" outlineLevel="0" collapsed="false">
      <c r="A1" s="1" t="s">
        <v>688</v>
      </c>
    </row>
    <row r="2" customFormat="false" ht="15" hidden="false" customHeight="false" outlineLevel="0" collapsed="false">
      <c r="A2" s="2" t="s">
        <v>689</v>
      </c>
    </row>
    <row r="4" customFormat="false" ht="15" hidden="false" customHeight="false" outlineLevel="0" collapsed="false">
      <c r="A4" s="6" t="s">
        <v>27</v>
      </c>
      <c r="B4" s="6" t="s">
        <v>690</v>
      </c>
      <c r="C4" s="6" t="s">
        <v>58</v>
      </c>
      <c r="D4" s="6" t="s">
        <v>405</v>
      </c>
    </row>
    <row r="5" customFormat="false" ht="15" hidden="false" customHeight="false" outlineLevel="0" collapsed="false">
      <c r="A5" s="12" t="s">
        <v>691</v>
      </c>
      <c r="B5" s="13"/>
      <c r="C5" s="13"/>
      <c r="D5" s="13"/>
    </row>
    <row r="6" customFormat="false" ht="15" hidden="false" customHeight="false" outlineLevel="0" collapsed="false">
      <c r="A6" s="4" t="s">
        <v>692</v>
      </c>
      <c r="B6" s="40" t="n">
        <f aca="false">100*post_hours/signups_post</f>
        <v>10</v>
      </c>
      <c r="C6" s="4" t="s">
        <v>342</v>
      </c>
      <c r="D6" s="15" t="s">
        <v>693</v>
      </c>
    </row>
    <row r="7" customFormat="false" ht="15" hidden="false" customHeight="false" outlineLevel="0" collapsed="false">
      <c r="A7" s="4" t="s">
        <v>694</v>
      </c>
      <c r="B7" s="40" t="n">
        <f aca="false">100*onb_support_min/60</f>
        <v>8.33333333333333</v>
      </c>
      <c r="C7" s="4" t="s">
        <v>342</v>
      </c>
      <c r="D7" s="15"/>
    </row>
    <row r="8" customFormat="false" ht="15" hidden="false" customHeight="false" outlineLevel="0" collapsed="false">
      <c r="A8" s="5" t="s">
        <v>695</v>
      </c>
      <c r="B8" s="40" t="n">
        <f aca="false">B6+B7</f>
        <v>18.3333333333333</v>
      </c>
      <c r="C8" s="4" t="s">
        <v>342</v>
      </c>
      <c r="D8" s="15"/>
    </row>
    <row r="9" customFormat="false" ht="15" hidden="false" customHeight="false" outlineLevel="0" collapsed="false">
      <c r="A9" s="12" t="s">
        <v>696</v>
      </c>
      <c r="B9" s="13"/>
      <c r="C9" s="13"/>
      <c r="D9" s="13"/>
    </row>
    <row r="10" customFormat="false" ht="15" hidden="false" customHeight="false" outlineLevel="0" collapsed="false">
      <c r="A10" s="4" t="s">
        <v>697</v>
      </c>
      <c r="B10" s="40" t="n">
        <f aca="false">100*support_min/60</f>
        <v>5</v>
      </c>
      <c r="C10" s="4" t="s">
        <v>698</v>
      </c>
      <c r="D10" s="15"/>
    </row>
    <row r="11" customFormat="false" ht="15" hidden="false" customHeight="false" outlineLevel="0" collapsed="false">
      <c r="A11" s="4" t="s">
        <v>699</v>
      </c>
      <c r="B11" s="40" t="n">
        <f aca="false">100*group_trips_member/12/group_size*group_mod_min/60</f>
        <v>2.5</v>
      </c>
      <c r="C11" s="4" t="s">
        <v>698</v>
      </c>
      <c r="D11" s="15"/>
    </row>
    <row r="12" customFormat="false" ht="15" hidden="false" customHeight="false" outlineLevel="0" collapsed="false">
      <c r="A12" s="5" t="s">
        <v>700</v>
      </c>
      <c r="B12" s="40" t="n">
        <f aca="false">B10+B11</f>
        <v>7.5</v>
      </c>
      <c r="C12" s="4" t="s">
        <v>698</v>
      </c>
      <c r="D12" s="15"/>
    </row>
    <row r="13" customFormat="false" ht="15" hidden="false" customHeight="false" outlineLevel="0" collapsed="false">
      <c r="A13" s="12" t="s">
        <v>701</v>
      </c>
      <c r="B13" s="13"/>
      <c r="C13" s="13"/>
      <c r="D13" s="13"/>
    </row>
    <row r="14" customFormat="false" ht="15" hidden="false" customHeight="false" outlineLevel="0" collapsed="false">
      <c r="A14" s="4" t="s">
        <v>702</v>
      </c>
      <c r="B14" s="40" t="n">
        <f aca="false">moments_month*moment_min/60</f>
        <v>3.33333333333333</v>
      </c>
      <c r="C14" s="4" t="s">
        <v>698</v>
      </c>
      <c r="D14" s="15" t="s">
        <v>703</v>
      </c>
    </row>
    <row r="15" customFormat="false" ht="15" hidden="false" customHeight="false" outlineLevel="0" collapsed="false">
      <c r="A15" s="12" t="s">
        <v>704</v>
      </c>
      <c r="B15" s="13"/>
      <c r="C15" s="13"/>
      <c r="D15" s="13"/>
    </row>
    <row r="16" customFormat="false" ht="15" hidden="false" customHeight="false" outlineLevel="0" collapsed="false">
      <c r="A16" s="4" t="s">
        <v>705</v>
      </c>
      <c r="B16" s="40" t="n">
        <f aca="false">week_budget*52/12</f>
        <v>32.5</v>
      </c>
      <c r="C16" s="4" t="s">
        <v>698</v>
      </c>
      <c r="D16" s="15"/>
    </row>
    <row r="17" customFormat="false" ht="15" hidden="false" customHeight="false" outlineLevel="0" collapsed="false">
      <c r="A17" s="4" t="s">
        <v>706</v>
      </c>
      <c r="B17" s="40" t="n">
        <f aca="false">B16-B14</f>
        <v>29.1666666666667</v>
      </c>
      <c r="C17" s="4" t="s">
        <v>698</v>
      </c>
      <c r="D17" s="15"/>
    </row>
    <row r="18" customFormat="false" ht="15" hidden="false" customHeight="false" outlineLevel="0" collapsed="false">
      <c r="A18" s="5" t="s">
        <v>707</v>
      </c>
      <c r="B18" s="40" t="n">
        <f aca="false">B17/B12*100</f>
        <v>388.888888888889</v>
      </c>
      <c r="C18" s="4" t="s">
        <v>158</v>
      </c>
      <c r="D18" s="15" t="s">
        <v>708</v>
      </c>
    </row>
    <row r="19" customFormat="false" ht="15" hidden="false" customHeight="false" outlineLevel="0" collapsed="false">
      <c r="A19" s="5" t="s">
        <v>709</v>
      </c>
      <c r="B19" s="40" t="n">
        <f aca="false">B17/B8*100</f>
        <v>159.090909090909</v>
      </c>
      <c r="C19" s="4" t="s">
        <v>710</v>
      </c>
      <c r="D19" s="15"/>
    </row>
    <row r="20" customFormat="false" ht="15" hidden="false" customHeight="false" outlineLevel="0" collapsed="false">
      <c r="A20" s="4" t="s">
        <v>711</v>
      </c>
      <c r="B20" s="40" t="n">
        <f aca="false">B19*conv_paid</f>
        <v>3.34090909090909</v>
      </c>
      <c r="C20" s="4" t="s">
        <v>712</v>
      </c>
      <c r="D20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2026-09-26T13:26:09Z</dcterms:created>
  <dc:creator>openpyxl</dc:creator>
  <dc:description/>
  <dc:language>en-US</dc:language>
  <cp:lastModifiedBy/>
  <dcterms:modified xsi:type="dcterms:W3CDTF">2026-09-26T13:26:09Z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